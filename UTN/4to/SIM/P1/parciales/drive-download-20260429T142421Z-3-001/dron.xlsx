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asmalamud/Documents/tomi/UTN/SIM/ejercicios/parcial 1/"/>
    </mc:Choice>
  </mc:AlternateContent>
  <xr:revisionPtr revIDLastSave="0" documentId="13_ncr:1_{66EFB23B-F110-DE48-9F17-743FA9CE2030}" xr6:coauthVersionLast="47" xr6:coauthVersionMax="47" xr10:uidLastSave="{00000000-0000-0000-0000-000000000000}"/>
  <bookViews>
    <workbookView xWindow="40" yWindow="500" windowWidth="25500" windowHeight="14120" xr2:uid="{F012C930-0AF2-5B40-890A-3CD9C4F6E0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6" i="1" l="1"/>
  <c r="W46" i="1"/>
  <c r="X46" i="1" s="1"/>
  <c r="U46" i="1"/>
  <c r="V46" i="1" s="1"/>
  <c r="S46" i="1"/>
  <c r="N46" i="1"/>
  <c r="O46" i="1" s="1"/>
  <c r="L46" i="1"/>
  <c r="M46" i="1" s="1"/>
  <c r="J46" i="1"/>
  <c r="E46" i="1"/>
  <c r="F46" i="1" s="1"/>
  <c r="C46" i="1"/>
  <c r="AB45" i="1"/>
  <c r="W45" i="1"/>
  <c r="X45" i="1" s="1"/>
  <c r="U45" i="1"/>
  <c r="V45" i="1" s="1"/>
  <c r="S45" i="1"/>
  <c r="N45" i="1"/>
  <c r="O45" i="1" s="1"/>
  <c r="L45" i="1"/>
  <c r="M45" i="1" s="1"/>
  <c r="J45" i="1"/>
  <c r="E45" i="1"/>
  <c r="F45" i="1" s="1"/>
  <c r="C45" i="1"/>
  <c r="AB44" i="1"/>
  <c r="W44" i="1"/>
  <c r="X44" i="1" s="1"/>
  <c r="U44" i="1"/>
  <c r="V44" i="1" s="1"/>
  <c r="S44" i="1"/>
  <c r="N44" i="1"/>
  <c r="O44" i="1" s="1"/>
  <c r="L44" i="1"/>
  <c r="M44" i="1" s="1"/>
  <c r="J44" i="1"/>
  <c r="E44" i="1"/>
  <c r="F44" i="1" s="1"/>
  <c r="C44" i="1"/>
  <c r="AB43" i="1"/>
  <c r="W43" i="1"/>
  <c r="X43" i="1" s="1"/>
  <c r="U43" i="1"/>
  <c r="V43" i="1" s="1"/>
  <c r="S43" i="1"/>
  <c r="O43" i="1"/>
  <c r="N43" i="1"/>
  <c r="L43" i="1"/>
  <c r="M43" i="1" s="1"/>
  <c r="J43" i="1"/>
  <c r="E43" i="1"/>
  <c r="F43" i="1" s="1"/>
  <c r="C43" i="1"/>
  <c r="D43" i="1" s="1"/>
  <c r="AB42" i="1"/>
  <c r="W42" i="1"/>
  <c r="X42" i="1" s="1"/>
  <c r="U42" i="1"/>
  <c r="V42" i="1" s="1"/>
  <c r="S42" i="1"/>
  <c r="N42" i="1"/>
  <c r="O42" i="1" s="1"/>
  <c r="L42" i="1"/>
  <c r="M42" i="1" s="1"/>
  <c r="J42" i="1"/>
  <c r="E42" i="1"/>
  <c r="F42" i="1" s="1"/>
  <c r="C42" i="1"/>
  <c r="D42" i="1" s="1"/>
  <c r="AB41" i="1"/>
  <c r="W41" i="1"/>
  <c r="X41" i="1" s="1"/>
  <c r="U41" i="1"/>
  <c r="V41" i="1" s="1"/>
  <c r="S41" i="1"/>
  <c r="N41" i="1"/>
  <c r="O41" i="1" s="1"/>
  <c r="L41" i="1"/>
  <c r="M41" i="1" s="1"/>
  <c r="J41" i="1"/>
  <c r="E41" i="1"/>
  <c r="F41" i="1" s="1"/>
  <c r="C41" i="1"/>
  <c r="D41" i="1" s="1"/>
  <c r="AB40" i="1"/>
  <c r="W40" i="1"/>
  <c r="X40" i="1" s="1"/>
  <c r="U40" i="1"/>
  <c r="V40" i="1" s="1"/>
  <c r="S40" i="1"/>
  <c r="N40" i="1"/>
  <c r="O40" i="1" s="1"/>
  <c r="L40" i="1"/>
  <c r="M40" i="1" s="1"/>
  <c r="J40" i="1"/>
  <c r="E40" i="1"/>
  <c r="F40" i="1" s="1"/>
  <c r="C40" i="1"/>
  <c r="D40" i="1" s="1"/>
  <c r="AB39" i="1"/>
  <c r="W39" i="1"/>
  <c r="X39" i="1" s="1"/>
  <c r="U39" i="1"/>
  <c r="V39" i="1" s="1"/>
  <c r="S39" i="1"/>
  <c r="N39" i="1"/>
  <c r="O39" i="1" s="1"/>
  <c r="L39" i="1"/>
  <c r="M39" i="1" s="1"/>
  <c r="J39" i="1"/>
  <c r="E39" i="1"/>
  <c r="F39" i="1" s="1"/>
  <c r="C39" i="1"/>
  <c r="D39" i="1" s="1"/>
  <c r="AB38" i="1"/>
  <c r="W38" i="1"/>
  <c r="X38" i="1" s="1"/>
  <c r="U38" i="1"/>
  <c r="V38" i="1" s="1"/>
  <c r="S38" i="1"/>
  <c r="N38" i="1"/>
  <c r="O38" i="1" s="1"/>
  <c r="L38" i="1"/>
  <c r="M38" i="1" s="1"/>
  <c r="J38" i="1"/>
  <c r="E38" i="1"/>
  <c r="F38" i="1" s="1"/>
  <c r="C38" i="1"/>
  <c r="D38" i="1" s="1"/>
  <c r="AB37" i="1"/>
  <c r="W37" i="1"/>
  <c r="X37" i="1" s="1"/>
  <c r="U37" i="1"/>
  <c r="V37" i="1" s="1"/>
  <c r="S37" i="1"/>
  <c r="N37" i="1"/>
  <c r="O37" i="1" s="1"/>
  <c r="L37" i="1"/>
  <c r="M37" i="1" s="1"/>
  <c r="J37" i="1"/>
  <c r="E37" i="1"/>
  <c r="F37" i="1" s="1"/>
  <c r="C37" i="1"/>
  <c r="D37" i="1" s="1"/>
  <c r="AB36" i="1"/>
  <c r="W36" i="1"/>
  <c r="X36" i="1" s="1"/>
  <c r="U36" i="1"/>
  <c r="V36" i="1" s="1"/>
  <c r="S36" i="1"/>
  <c r="N36" i="1"/>
  <c r="O36" i="1" s="1"/>
  <c r="L36" i="1"/>
  <c r="M36" i="1" s="1"/>
  <c r="J36" i="1"/>
  <c r="E36" i="1"/>
  <c r="F36" i="1" s="1"/>
  <c r="C36" i="1"/>
  <c r="AB35" i="1"/>
  <c r="W35" i="1"/>
  <c r="X35" i="1" s="1"/>
  <c r="U35" i="1"/>
  <c r="V35" i="1" s="1"/>
  <c r="S35" i="1"/>
  <c r="N35" i="1"/>
  <c r="O35" i="1" s="1"/>
  <c r="L35" i="1"/>
  <c r="M35" i="1" s="1"/>
  <c r="J35" i="1"/>
  <c r="E35" i="1"/>
  <c r="F35" i="1" s="1"/>
  <c r="C35" i="1"/>
  <c r="D35" i="1" s="1"/>
  <c r="AB34" i="1"/>
  <c r="W34" i="1"/>
  <c r="X34" i="1" s="1"/>
  <c r="U34" i="1"/>
  <c r="V34" i="1" s="1"/>
  <c r="S34" i="1"/>
  <c r="N34" i="1"/>
  <c r="O34" i="1" s="1"/>
  <c r="L34" i="1"/>
  <c r="M34" i="1" s="1"/>
  <c r="J34" i="1"/>
  <c r="E34" i="1"/>
  <c r="F34" i="1" s="1"/>
  <c r="C34" i="1"/>
  <c r="D34" i="1" s="1"/>
  <c r="AB33" i="1"/>
  <c r="W33" i="1"/>
  <c r="X33" i="1" s="1"/>
  <c r="U33" i="1"/>
  <c r="V33" i="1" s="1"/>
  <c r="S33" i="1"/>
  <c r="N33" i="1"/>
  <c r="O33" i="1" s="1"/>
  <c r="L33" i="1"/>
  <c r="M33" i="1" s="1"/>
  <c r="J33" i="1"/>
  <c r="E33" i="1"/>
  <c r="F33" i="1" s="1"/>
  <c r="C33" i="1"/>
  <c r="D33" i="1" s="1"/>
  <c r="AB32" i="1"/>
  <c r="W32" i="1"/>
  <c r="X32" i="1" s="1"/>
  <c r="U32" i="1"/>
  <c r="V32" i="1" s="1"/>
  <c r="S32" i="1"/>
  <c r="N32" i="1"/>
  <c r="O32" i="1" s="1"/>
  <c r="L32" i="1"/>
  <c r="M32" i="1" s="1"/>
  <c r="J32" i="1"/>
  <c r="E32" i="1"/>
  <c r="F32" i="1" s="1"/>
  <c r="C32" i="1"/>
  <c r="AB31" i="1"/>
  <c r="W31" i="1"/>
  <c r="X31" i="1" s="1"/>
  <c r="U31" i="1"/>
  <c r="V31" i="1" s="1"/>
  <c r="S31" i="1"/>
  <c r="N31" i="1"/>
  <c r="O31" i="1" s="1"/>
  <c r="L31" i="1"/>
  <c r="M31" i="1" s="1"/>
  <c r="J31" i="1"/>
  <c r="E31" i="1"/>
  <c r="F31" i="1" s="1"/>
  <c r="C31" i="1"/>
  <c r="D31" i="1" s="1"/>
  <c r="AB30" i="1"/>
  <c r="W30" i="1"/>
  <c r="X30" i="1" s="1"/>
  <c r="U30" i="1"/>
  <c r="V30" i="1" s="1"/>
  <c r="S30" i="1"/>
  <c r="N30" i="1"/>
  <c r="O30" i="1" s="1"/>
  <c r="L30" i="1"/>
  <c r="M30" i="1" s="1"/>
  <c r="J30" i="1"/>
  <c r="E30" i="1"/>
  <c r="F30" i="1" s="1"/>
  <c r="C30" i="1"/>
  <c r="D30" i="1" s="1"/>
  <c r="AB29" i="1"/>
  <c r="W29" i="1"/>
  <c r="X29" i="1" s="1"/>
  <c r="U29" i="1"/>
  <c r="V29" i="1" s="1"/>
  <c r="S29" i="1"/>
  <c r="N29" i="1"/>
  <c r="O29" i="1" s="1"/>
  <c r="L29" i="1"/>
  <c r="M29" i="1" s="1"/>
  <c r="J29" i="1"/>
  <c r="E29" i="1"/>
  <c r="F29" i="1" s="1"/>
  <c r="C29" i="1"/>
  <c r="AB28" i="1"/>
  <c r="W28" i="1"/>
  <c r="X28" i="1" s="1"/>
  <c r="U28" i="1"/>
  <c r="V28" i="1" s="1"/>
  <c r="S28" i="1"/>
  <c r="N28" i="1"/>
  <c r="O28" i="1" s="1"/>
  <c r="L28" i="1"/>
  <c r="M28" i="1" s="1"/>
  <c r="J28" i="1"/>
  <c r="E28" i="1"/>
  <c r="F28" i="1" s="1"/>
  <c r="C28" i="1"/>
  <c r="D28" i="1" s="1"/>
  <c r="AB27" i="1"/>
  <c r="W27" i="1"/>
  <c r="X27" i="1" s="1"/>
  <c r="U27" i="1"/>
  <c r="V27" i="1" s="1"/>
  <c r="S27" i="1"/>
  <c r="N27" i="1"/>
  <c r="O27" i="1" s="1"/>
  <c r="L27" i="1"/>
  <c r="M27" i="1" s="1"/>
  <c r="J27" i="1"/>
  <c r="E27" i="1"/>
  <c r="F27" i="1" s="1"/>
  <c r="C27" i="1"/>
  <c r="D27" i="1" s="1"/>
  <c r="AB26" i="1"/>
  <c r="W26" i="1"/>
  <c r="X26" i="1" s="1"/>
  <c r="U26" i="1"/>
  <c r="V26" i="1" s="1"/>
  <c r="S26" i="1"/>
  <c r="N26" i="1"/>
  <c r="O26" i="1" s="1"/>
  <c r="L26" i="1"/>
  <c r="M26" i="1" s="1"/>
  <c r="J26" i="1"/>
  <c r="E26" i="1"/>
  <c r="F26" i="1" s="1"/>
  <c r="C26" i="1"/>
  <c r="D26" i="1" s="1"/>
  <c r="AB25" i="1"/>
  <c r="W25" i="1"/>
  <c r="X25" i="1" s="1"/>
  <c r="U25" i="1"/>
  <c r="V25" i="1" s="1"/>
  <c r="S25" i="1"/>
  <c r="N25" i="1"/>
  <c r="O25" i="1" s="1"/>
  <c r="L25" i="1"/>
  <c r="M25" i="1" s="1"/>
  <c r="J25" i="1"/>
  <c r="E25" i="1"/>
  <c r="F25" i="1" s="1"/>
  <c r="C25" i="1"/>
  <c r="AB24" i="1"/>
  <c r="W24" i="1"/>
  <c r="X24" i="1" s="1"/>
  <c r="U24" i="1"/>
  <c r="V24" i="1" s="1"/>
  <c r="S24" i="1"/>
  <c r="N24" i="1"/>
  <c r="O24" i="1" s="1"/>
  <c r="L24" i="1"/>
  <c r="M24" i="1" s="1"/>
  <c r="J24" i="1"/>
  <c r="E24" i="1"/>
  <c r="F24" i="1" s="1"/>
  <c r="C24" i="1"/>
  <c r="AB23" i="1"/>
  <c r="W23" i="1"/>
  <c r="X23" i="1" s="1"/>
  <c r="U23" i="1"/>
  <c r="V23" i="1" s="1"/>
  <c r="S23" i="1"/>
  <c r="N23" i="1"/>
  <c r="O23" i="1" s="1"/>
  <c r="L23" i="1"/>
  <c r="M23" i="1" s="1"/>
  <c r="J23" i="1"/>
  <c r="E23" i="1"/>
  <c r="F23" i="1" s="1"/>
  <c r="C23" i="1"/>
  <c r="D23" i="1" s="1"/>
  <c r="AB22" i="1"/>
  <c r="W22" i="1"/>
  <c r="X22" i="1" s="1"/>
  <c r="U22" i="1"/>
  <c r="V22" i="1" s="1"/>
  <c r="S22" i="1"/>
  <c r="N22" i="1"/>
  <c r="O22" i="1" s="1"/>
  <c r="L22" i="1"/>
  <c r="M22" i="1" s="1"/>
  <c r="J22" i="1"/>
  <c r="E22" i="1"/>
  <c r="F22" i="1" s="1"/>
  <c r="C22" i="1"/>
  <c r="D22" i="1" s="1"/>
  <c r="AB21" i="1"/>
  <c r="W21" i="1"/>
  <c r="X21" i="1" s="1"/>
  <c r="U21" i="1"/>
  <c r="V21" i="1" s="1"/>
  <c r="S21" i="1"/>
  <c r="N21" i="1"/>
  <c r="O21" i="1" s="1"/>
  <c r="L21" i="1"/>
  <c r="M21" i="1" s="1"/>
  <c r="J21" i="1"/>
  <c r="E21" i="1"/>
  <c r="F21" i="1" s="1"/>
  <c r="C21" i="1"/>
  <c r="D21" i="1" s="1"/>
  <c r="AB20" i="1"/>
  <c r="W20" i="1"/>
  <c r="X20" i="1" s="1"/>
  <c r="U20" i="1"/>
  <c r="V20" i="1" s="1"/>
  <c r="S20" i="1"/>
  <c r="N20" i="1"/>
  <c r="O20" i="1" s="1"/>
  <c r="L20" i="1"/>
  <c r="M20" i="1" s="1"/>
  <c r="J20" i="1"/>
  <c r="E20" i="1"/>
  <c r="F20" i="1" s="1"/>
  <c r="C20" i="1"/>
  <c r="D20" i="1" s="1"/>
  <c r="B20" i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AB19" i="1"/>
  <c r="W19" i="1"/>
  <c r="X19" i="1" s="1"/>
  <c r="U19" i="1"/>
  <c r="V19" i="1" s="1"/>
  <c r="S19" i="1"/>
  <c r="N19" i="1"/>
  <c r="O19" i="1" s="1"/>
  <c r="L19" i="1"/>
  <c r="M19" i="1" s="1"/>
  <c r="J19" i="1"/>
  <c r="E19" i="1"/>
  <c r="F19" i="1" s="1"/>
  <c r="C19" i="1"/>
  <c r="D19" i="1" s="1"/>
  <c r="AB18" i="1"/>
  <c r="W18" i="1"/>
  <c r="X18" i="1" s="1"/>
  <c r="U18" i="1"/>
  <c r="V18" i="1" s="1"/>
  <c r="S18" i="1"/>
  <c r="N18" i="1"/>
  <c r="O18" i="1" s="1"/>
  <c r="L18" i="1"/>
  <c r="M18" i="1" s="1"/>
  <c r="J18" i="1"/>
  <c r="E18" i="1"/>
  <c r="F18" i="1" s="1"/>
  <c r="C18" i="1"/>
  <c r="D18" i="1" s="1"/>
  <c r="AB17" i="1"/>
  <c r="W17" i="1"/>
  <c r="X17" i="1" s="1"/>
  <c r="U17" i="1"/>
  <c r="V17" i="1" s="1"/>
  <c r="S17" i="1"/>
  <c r="N17" i="1"/>
  <c r="O17" i="1" s="1"/>
  <c r="L17" i="1"/>
  <c r="M17" i="1" s="1"/>
  <c r="J17" i="1"/>
  <c r="E17" i="1"/>
  <c r="F17" i="1" s="1"/>
  <c r="C17" i="1"/>
  <c r="D17" i="1" s="1"/>
  <c r="B17" i="1"/>
  <c r="B18" i="1" s="1"/>
  <c r="B19" i="1" s="1"/>
  <c r="B16" i="1"/>
  <c r="AB16" i="1"/>
  <c r="W16" i="1"/>
  <c r="X16" i="1" s="1"/>
  <c r="U16" i="1"/>
  <c r="V16" i="1" s="1"/>
  <c r="S16" i="1"/>
  <c r="N16" i="1"/>
  <c r="O16" i="1" s="1"/>
  <c r="L16" i="1"/>
  <c r="M16" i="1" s="1"/>
  <c r="J16" i="1"/>
  <c r="E16" i="1"/>
  <c r="F16" i="1" s="1"/>
  <c r="C16" i="1"/>
  <c r="D16" i="1" s="1"/>
  <c r="AB15" i="1"/>
  <c r="W15" i="1"/>
  <c r="X15" i="1" s="1"/>
  <c r="U15" i="1"/>
  <c r="V15" i="1" s="1"/>
  <c r="S15" i="1"/>
  <c r="N15" i="1"/>
  <c r="O15" i="1" s="1"/>
  <c r="L15" i="1"/>
  <c r="M15" i="1" s="1"/>
  <c r="J15" i="1"/>
  <c r="E15" i="1"/>
  <c r="F15" i="1" s="1"/>
  <c r="H21" i="1" l="1" a="1"/>
  <c r="H21" i="1" s="1"/>
  <c r="G35" i="1" a="1"/>
  <c r="G35" i="1" s="1"/>
  <c r="P35" i="1" s="1" a="1"/>
  <c r="P35" i="1" s="1"/>
  <c r="Y35" i="1" s="1" a="1"/>
  <c r="Y35" i="1" s="1"/>
  <c r="G20" i="1" a="1"/>
  <c r="G20" i="1" s="1"/>
  <c r="H18" i="1" a="1"/>
  <c r="H18" i="1" s="1"/>
  <c r="Q18" i="1" s="1" a="1"/>
  <c r="Q18" i="1" s="1"/>
  <c r="H41" i="1" a="1"/>
  <c r="H41" i="1" s="1"/>
  <c r="Q41" i="1" s="1" a="1"/>
  <c r="Q41" i="1" s="1"/>
  <c r="G23" i="1" a="1"/>
  <c r="G23" i="1" s="1"/>
  <c r="H40" i="1" a="1"/>
  <c r="H40" i="1" s="1"/>
  <c r="I40" i="1" s="1"/>
  <c r="K40" i="1" s="1" a="1"/>
  <c r="K40" i="1" s="1"/>
  <c r="H22" i="1" a="1"/>
  <c r="H22" i="1" s="1"/>
  <c r="Q22" i="1" s="1" a="1"/>
  <c r="Q22" i="1" s="1"/>
  <c r="H34" i="1" a="1"/>
  <c r="H34" i="1" s="1"/>
  <c r="I34" i="1" s="1"/>
  <c r="K34" i="1" s="1" a="1"/>
  <c r="K34" i="1" s="1"/>
  <c r="H20" i="1" a="1"/>
  <c r="H20" i="1" s="1"/>
  <c r="I20" i="1" s="1"/>
  <c r="K20" i="1" s="1" a="1"/>
  <c r="K20" i="1" s="1"/>
  <c r="P20" i="1" a="1"/>
  <c r="P20" i="1" s="1"/>
  <c r="Y20" i="1" s="1" a="1"/>
  <c r="Y20" i="1" s="1"/>
  <c r="G27" i="1" a="1"/>
  <c r="G27" i="1" s="1"/>
  <c r="P27" i="1" s="1" a="1"/>
  <c r="P27" i="1" s="1"/>
  <c r="Y27" i="1" s="1" a="1"/>
  <c r="Y27" i="1" s="1"/>
  <c r="H43" i="1" a="1"/>
  <c r="H43" i="1" s="1"/>
  <c r="I43" i="1" s="1"/>
  <c r="K43" i="1" s="1" a="1"/>
  <c r="K43" i="1" s="1"/>
  <c r="G33" i="1" a="1"/>
  <c r="G33" i="1" s="1"/>
  <c r="P33" i="1" s="1" a="1"/>
  <c r="P33" i="1" s="1"/>
  <c r="Y33" i="1" s="1" a="1"/>
  <c r="Y33" i="1" s="1"/>
  <c r="G17" i="1" a="1"/>
  <c r="G17" i="1" s="1"/>
  <c r="P17" i="1" s="1" a="1"/>
  <c r="P17" i="1" s="1"/>
  <c r="Y17" i="1" s="1" a="1"/>
  <c r="Y17" i="1" s="1"/>
  <c r="G40" i="1" a="1"/>
  <c r="G40" i="1" s="1"/>
  <c r="P40" i="1" s="1" a="1"/>
  <c r="P40" i="1" s="1"/>
  <c r="Y40" i="1" s="1" a="1"/>
  <c r="Y40" i="1" s="1"/>
  <c r="H38" i="1" a="1"/>
  <c r="H38" i="1" s="1"/>
  <c r="Q38" i="1" s="1" a="1"/>
  <c r="Q38" i="1" s="1"/>
  <c r="G38" i="1" a="1"/>
  <c r="G38" i="1" s="1"/>
  <c r="P38" i="1" s="1" a="1"/>
  <c r="P38" i="1" s="1"/>
  <c r="Y38" i="1" s="1" a="1"/>
  <c r="Y38" i="1" s="1"/>
  <c r="H27" i="1" a="1"/>
  <c r="H27" i="1" s="1"/>
  <c r="G41" i="1" a="1"/>
  <c r="G41" i="1" s="1"/>
  <c r="P41" i="1" s="1" a="1"/>
  <c r="P41" i="1" s="1"/>
  <c r="Y41" i="1" s="1" a="1"/>
  <c r="Y41" i="1" s="1"/>
  <c r="H19" i="1" a="1"/>
  <c r="H19" i="1" s="1"/>
  <c r="Q19" i="1" s="1" a="1"/>
  <c r="Q19" i="1" s="1"/>
  <c r="G34" i="1" a="1"/>
  <c r="G34" i="1" s="1"/>
  <c r="P34" i="1" s="1" a="1"/>
  <c r="P34" i="1" s="1"/>
  <c r="Y34" i="1" s="1" a="1"/>
  <c r="Y34" i="1" s="1"/>
  <c r="G43" i="1" a="1"/>
  <c r="G43" i="1" s="1"/>
  <c r="P43" i="1" s="1" a="1"/>
  <c r="P43" i="1" s="1"/>
  <c r="Y43" i="1" s="1" a="1"/>
  <c r="Y43" i="1" s="1"/>
  <c r="G42" i="1" a="1"/>
  <c r="G42" i="1" s="1"/>
  <c r="P42" i="1" s="1" a="1"/>
  <c r="P42" i="1" s="1"/>
  <c r="Y42" i="1" s="1" a="1"/>
  <c r="Y42" i="1" s="1"/>
  <c r="G30" i="1" a="1"/>
  <c r="G30" i="1" s="1"/>
  <c r="P30" i="1" s="1" a="1"/>
  <c r="P30" i="1" s="1"/>
  <c r="Y30" i="1" s="1" a="1"/>
  <c r="Y30" i="1" s="1"/>
  <c r="H23" i="1" a="1"/>
  <c r="H23" i="1" s="1"/>
  <c r="Q23" i="1" s="1" a="1"/>
  <c r="Q23" i="1" s="1"/>
  <c r="G19" i="1" a="1"/>
  <c r="G19" i="1" s="1"/>
  <c r="P19" i="1" s="1" a="1"/>
  <c r="P19" i="1" s="1"/>
  <c r="Y19" i="1" s="1" a="1"/>
  <c r="Y19" i="1" s="1"/>
  <c r="Q21" i="1" a="1"/>
  <c r="Q21" i="1" s="1"/>
  <c r="I21" i="1"/>
  <c r="K21" i="1" s="1" a="1"/>
  <c r="K21" i="1" s="1"/>
  <c r="D45" i="1"/>
  <c r="P23" i="1" a="1"/>
  <c r="P23" i="1" s="1"/>
  <c r="Y23" i="1" s="1" a="1"/>
  <c r="Y23" i="1" s="1"/>
  <c r="D24" i="1"/>
  <c r="G31" i="1" a="1"/>
  <c r="G31" i="1" s="1"/>
  <c r="P31" i="1" s="1" a="1"/>
  <c r="P31" i="1" s="1"/>
  <c r="Y31" i="1" s="1" a="1"/>
  <c r="Y31" i="1" s="1"/>
  <c r="H31" i="1" a="1"/>
  <c r="H31" i="1" s="1"/>
  <c r="G18" i="1" a="1"/>
  <c r="G18" i="1" s="1"/>
  <c r="P18" i="1" s="1" a="1"/>
  <c r="P18" i="1" s="1"/>
  <c r="Y18" i="1" s="1" a="1"/>
  <c r="Y18" i="1" s="1"/>
  <c r="H26" i="1" a="1"/>
  <c r="H26" i="1" s="1"/>
  <c r="G26" i="1" a="1"/>
  <c r="G26" i="1" s="1"/>
  <c r="P26" i="1" s="1" a="1"/>
  <c r="P26" i="1" s="1"/>
  <c r="Y26" i="1" s="1" a="1"/>
  <c r="Y26" i="1" s="1"/>
  <c r="G28" i="1" a="1"/>
  <c r="G28" i="1" s="1"/>
  <c r="P28" i="1" s="1" a="1"/>
  <c r="P28" i="1" s="1"/>
  <c r="Y28" i="1" s="1" a="1"/>
  <c r="Y28" i="1" s="1"/>
  <c r="H39" i="1" a="1"/>
  <c r="H39" i="1" s="1"/>
  <c r="G39" i="1" a="1"/>
  <c r="G39" i="1" s="1"/>
  <c r="P39" i="1" s="1" a="1"/>
  <c r="P39" i="1" s="1"/>
  <c r="Y39" i="1" s="1" a="1"/>
  <c r="Y39" i="1" s="1"/>
  <c r="H17" i="1" a="1"/>
  <c r="H17" i="1" s="1"/>
  <c r="D36" i="1"/>
  <c r="D44" i="1"/>
  <c r="G21" i="1" a="1"/>
  <c r="G21" i="1" s="1"/>
  <c r="P21" i="1" s="1" a="1"/>
  <c r="P21" i="1" s="1"/>
  <c r="Y21" i="1" s="1" a="1"/>
  <c r="Y21" i="1" s="1"/>
  <c r="G37" i="1" a="1"/>
  <c r="G37" i="1" s="1"/>
  <c r="P37" i="1" s="1" a="1"/>
  <c r="P37" i="1" s="1"/>
  <c r="Y37" i="1" s="1" a="1"/>
  <c r="Y37" i="1" s="1"/>
  <c r="H37" i="1" a="1"/>
  <c r="H37" i="1" s="1"/>
  <c r="G22" i="1" a="1"/>
  <c r="G22" i="1" s="1"/>
  <c r="P22" i="1" s="1" a="1"/>
  <c r="P22" i="1" s="1"/>
  <c r="Y22" i="1" s="1" a="1"/>
  <c r="Y22" i="1" s="1"/>
  <c r="H35" i="1" a="1"/>
  <c r="H35" i="1" s="1"/>
  <c r="H28" i="1" a="1"/>
  <c r="H28" i="1" s="1"/>
  <c r="D29" i="1"/>
  <c r="H33" i="1" a="1"/>
  <c r="H33" i="1" s="1"/>
  <c r="H30" i="1" a="1"/>
  <c r="H30" i="1" s="1"/>
  <c r="H42" i="1" a="1"/>
  <c r="H42" i="1" s="1"/>
  <c r="D46" i="1"/>
  <c r="D32" i="1"/>
  <c r="D25" i="1"/>
  <c r="G16" i="1" a="1"/>
  <c r="G16" i="1" s="1"/>
  <c r="P16" i="1" s="1" a="1"/>
  <c r="P16" i="1" s="1"/>
  <c r="Y16" i="1" s="1" a="1"/>
  <c r="Y16" i="1" s="1"/>
  <c r="H16" i="1" a="1"/>
  <c r="H16" i="1" s="1"/>
  <c r="C15" i="1"/>
  <c r="L10" i="1"/>
  <c r="K11" i="1" s="1"/>
  <c r="L11" i="1" s="1"/>
  <c r="L6" i="1"/>
  <c r="K7" i="1" s="1"/>
  <c r="L7" i="1" s="1"/>
  <c r="L2" i="1"/>
  <c r="K3" i="1" s="1"/>
  <c r="L3" i="1" s="1"/>
  <c r="E2" i="1"/>
  <c r="D3" i="1" s="1"/>
  <c r="E3" i="1" s="1"/>
  <c r="D4" i="1" s="1"/>
  <c r="E4" i="1" s="1"/>
  <c r="E7" i="1"/>
  <c r="D8" i="1" s="1"/>
  <c r="E8" i="1" s="1"/>
  <c r="D9" i="1" s="1"/>
  <c r="E9" i="1" s="1"/>
  <c r="D10" i="1" s="1"/>
  <c r="E10" i="1" s="1"/>
  <c r="I41" i="1" l="1"/>
  <c r="I18" i="1"/>
  <c r="K18" i="1" s="1" a="1"/>
  <c r="K18" i="1" s="1"/>
  <c r="I38" i="1"/>
  <c r="K38" i="1" s="1" a="1"/>
  <c r="K38" i="1" s="1"/>
  <c r="I22" i="1"/>
  <c r="K22" i="1" s="1" a="1"/>
  <c r="K22" i="1" s="1"/>
  <c r="Q43" i="1" a="1"/>
  <c r="Q43" i="1" s="1"/>
  <c r="Z43" i="1" s="1" a="1"/>
  <c r="Z43" i="1" s="1"/>
  <c r="AA43" i="1" s="1"/>
  <c r="AC43" i="1" s="1" a="1"/>
  <c r="AC43" i="1" s="1"/>
  <c r="Q34" i="1" a="1"/>
  <c r="Q34" i="1" s="1"/>
  <c r="R34" i="1" s="1"/>
  <c r="Q40" i="1" a="1"/>
  <c r="Q40" i="1" s="1"/>
  <c r="Z40" i="1" s="1" a="1"/>
  <c r="Z40" i="1" s="1"/>
  <c r="AA40" i="1" s="1"/>
  <c r="AC40" i="1" s="1" a="1"/>
  <c r="AC40" i="1" s="1"/>
  <c r="Q20" i="1" a="1"/>
  <c r="Q20" i="1" s="1"/>
  <c r="Z20" i="1" s="1" a="1"/>
  <c r="Z20" i="1" s="1"/>
  <c r="AA20" i="1" s="1"/>
  <c r="AC20" i="1" s="1" a="1"/>
  <c r="AC20" i="1" s="1"/>
  <c r="I23" i="1"/>
  <c r="K23" i="1" s="1" a="1"/>
  <c r="K23" i="1" s="1"/>
  <c r="I19" i="1"/>
  <c r="K19" i="1" s="1" a="1"/>
  <c r="K19" i="1" s="1"/>
  <c r="I27" i="1"/>
  <c r="Q27" i="1" a="1"/>
  <c r="Q27" i="1" s="1"/>
  <c r="Q37" i="1" a="1"/>
  <c r="Q37" i="1" s="1"/>
  <c r="I37" i="1"/>
  <c r="K37" i="1" s="1" a="1"/>
  <c r="K37" i="1" s="1"/>
  <c r="G44" i="1" a="1"/>
  <c r="G44" i="1" s="1"/>
  <c r="P44" i="1" s="1" a="1"/>
  <c r="P44" i="1" s="1"/>
  <c r="Y44" i="1" s="1" a="1"/>
  <c r="Y44" i="1" s="1"/>
  <c r="H44" i="1" a="1"/>
  <c r="H44" i="1" s="1"/>
  <c r="Z22" i="1" a="1"/>
  <c r="Z22" i="1" s="1"/>
  <c r="AA22" i="1" s="1"/>
  <c r="AC22" i="1" s="1" a="1"/>
  <c r="AC22" i="1" s="1"/>
  <c r="R22" i="1"/>
  <c r="K41" i="1" a="1"/>
  <c r="K41" i="1" s="1"/>
  <c r="I31" i="1"/>
  <c r="K31" i="1" s="1" a="1"/>
  <c r="K31" i="1" s="1"/>
  <c r="Q31" i="1" a="1"/>
  <c r="Q31" i="1" s="1"/>
  <c r="R21" i="1"/>
  <c r="T21" i="1" s="1" a="1"/>
  <c r="T21" i="1" s="1"/>
  <c r="Z21" i="1" a="1"/>
  <c r="Z21" i="1" s="1"/>
  <c r="AA21" i="1" s="1"/>
  <c r="AC21" i="1" s="1" a="1"/>
  <c r="AC21" i="1" s="1"/>
  <c r="I33" i="1"/>
  <c r="K33" i="1" s="1" a="1"/>
  <c r="K33" i="1" s="1"/>
  <c r="Q33" i="1" a="1"/>
  <c r="Q33" i="1" s="1"/>
  <c r="Q26" i="1" a="1"/>
  <c r="Q26" i="1" s="1"/>
  <c r="I26" i="1"/>
  <c r="G24" i="1" a="1"/>
  <c r="G24" i="1" s="1"/>
  <c r="H24" i="1" a="1"/>
  <c r="H24" i="1" s="1"/>
  <c r="I28" i="1"/>
  <c r="K28" i="1" s="1" a="1"/>
  <c r="K28" i="1" s="1"/>
  <c r="Q28" i="1" a="1"/>
  <c r="Q28" i="1" s="1"/>
  <c r="G45" i="1" a="1"/>
  <c r="G45" i="1" s="1"/>
  <c r="P45" i="1" s="1" a="1"/>
  <c r="P45" i="1" s="1"/>
  <c r="Y45" i="1" s="1" a="1"/>
  <c r="Y45" i="1" s="1"/>
  <c r="H45" i="1" a="1"/>
  <c r="H45" i="1" s="1"/>
  <c r="I42" i="1"/>
  <c r="K42" i="1" s="1" a="1"/>
  <c r="K42" i="1" s="1"/>
  <c r="Q42" i="1" a="1"/>
  <c r="Q42" i="1" s="1"/>
  <c r="I39" i="1"/>
  <c r="Q39" i="1" a="1"/>
  <c r="Q39" i="1" s="1"/>
  <c r="H25" i="1" a="1"/>
  <c r="H25" i="1" s="1"/>
  <c r="G25" i="1" a="1"/>
  <c r="G25" i="1" s="1"/>
  <c r="Q35" i="1" a="1"/>
  <c r="Q35" i="1" s="1"/>
  <c r="I35" i="1"/>
  <c r="R23" i="1"/>
  <c r="T23" i="1" s="1" a="1"/>
  <c r="T23" i="1" s="1"/>
  <c r="Z23" i="1" a="1"/>
  <c r="Z23" i="1" s="1"/>
  <c r="AA23" i="1" s="1"/>
  <c r="AC23" i="1" s="1" a="1"/>
  <c r="AC23" i="1" s="1"/>
  <c r="R19" i="1"/>
  <c r="T19" i="1" s="1" a="1"/>
  <c r="T19" i="1" s="1"/>
  <c r="Z19" i="1" a="1"/>
  <c r="Z19" i="1" s="1"/>
  <c r="AA19" i="1" s="1"/>
  <c r="AC19" i="1" s="1" a="1"/>
  <c r="AC19" i="1" s="1"/>
  <c r="Z18" i="1" a="1"/>
  <c r="Z18" i="1" s="1"/>
  <c r="AA18" i="1" s="1"/>
  <c r="AC18" i="1" s="1" a="1"/>
  <c r="AC18" i="1" s="1"/>
  <c r="R18" i="1"/>
  <c r="I17" i="1"/>
  <c r="K17" i="1" s="1" a="1"/>
  <c r="K17" i="1" s="1"/>
  <c r="Q17" i="1" a="1"/>
  <c r="Q17" i="1" s="1"/>
  <c r="H36" i="1" a="1"/>
  <c r="H36" i="1" s="1"/>
  <c r="G36" i="1" a="1"/>
  <c r="G36" i="1" s="1"/>
  <c r="G32" i="1" a="1"/>
  <c r="G32" i="1" s="1"/>
  <c r="H32" i="1" a="1"/>
  <c r="H32" i="1" s="1"/>
  <c r="G29" i="1" a="1"/>
  <c r="G29" i="1" s="1"/>
  <c r="P29" i="1" s="1" a="1"/>
  <c r="P29" i="1" s="1"/>
  <c r="Y29" i="1" s="1" a="1"/>
  <c r="Y29" i="1" s="1"/>
  <c r="H29" i="1" a="1"/>
  <c r="H29" i="1" s="1"/>
  <c r="I30" i="1"/>
  <c r="K30" i="1" s="1" a="1"/>
  <c r="K30" i="1" s="1"/>
  <c r="Q30" i="1" a="1"/>
  <c r="Q30" i="1" s="1"/>
  <c r="Z38" i="1" a="1"/>
  <c r="Z38" i="1" s="1"/>
  <c r="AA38" i="1" s="1"/>
  <c r="AC38" i="1" s="1" a="1"/>
  <c r="AC38" i="1" s="1"/>
  <c r="R38" i="1"/>
  <c r="T38" i="1" s="1" a="1"/>
  <c r="T38" i="1" s="1"/>
  <c r="G46" i="1" a="1"/>
  <c r="G46" i="1" s="1"/>
  <c r="H46" i="1" a="1"/>
  <c r="H46" i="1" s="1"/>
  <c r="Z41" i="1" a="1"/>
  <c r="Z41" i="1" s="1"/>
  <c r="AA41" i="1" s="1"/>
  <c r="AC41" i="1" s="1" a="1"/>
  <c r="AC41" i="1" s="1"/>
  <c r="R41" i="1"/>
  <c r="T41" i="1" s="1" a="1"/>
  <c r="T41" i="1" s="1"/>
  <c r="Q16" i="1" a="1"/>
  <c r="Q16" i="1" s="1"/>
  <c r="I16" i="1"/>
  <c r="D15" i="1"/>
  <c r="G15" i="1" s="1" a="1"/>
  <c r="G15" i="1" s="1"/>
  <c r="P15" i="1" s="1" a="1"/>
  <c r="P15" i="1" s="1"/>
  <c r="Y15" i="1" s="1" a="1"/>
  <c r="Y15" i="1" s="1"/>
  <c r="R43" i="1" l="1"/>
  <c r="T43" i="1" s="1" a="1"/>
  <c r="T43" i="1" s="1"/>
  <c r="R40" i="1"/>
  <c r="T40" i="1" s="1" a="1"/>
  <c r="T40" i="1" s="1"/>
  <c r="AD40" i="1" s="1"/>
  <c r="Z34" i="1" a="1"/>
  <c r="Z34" i="1" s="1"/>
  <c r="AA34" i="1" s="1"/>
  <c r="AC34" i="1" s="1" a="1"/>
  <c r="AC34" i="1" s="1"/>
  <c r="R20" i="1"/>
  <c r="T20" i="1" s="1" a="1"/>
  <c r="T20" i="1" s="1"/>
  <c r="AD20" i="1" s="1"/>
  <c r="AD38" i="1"/>
  <c r="R27" i="1"/>
  <c r="T27" i="1" s="1" a="1"/>
  <c r="T27" i="1" s="1"/>
  <c r="Z27" i="1" a="1"/>
  <c r="Z27" i="1" s="1"/>
  <c r="AA27" i="1" s="1"/>
  <c r="AC27" i="1" s="1" a="1"/>
  <c r="AC27" i="1" s="1"/>
  <c r="K27" i="1" a="1"/>
  <c r="K27" i="1" s="1"/>
  <c r="Z30" i="1" a="1"/>
  <c r="Z30" i="1" s="1"/>
  <c r="AA30" i="1" s="1"/>
  <c r="AC30" i="1" s="1" a="1"/>
  <c r="AC30" i="1" s="1"/>
  <c r="R30" i="1"/>
  <c r="T30" i="1" s="1" a="1"/>
  <c r="T30" i="1" s="1"/>
  <c r="AD23" i="1"/>
  <c r="T18" i="1" a="1"/>
  <c r="T18" i="1" s="1"/>
  <c r="AD18" i="1" s="1"/>
  <c r="K39" i="1" a="1"/>
  <c r="K39" i="1" s="1"/>
  <c r="AD43" i="1"/>
  <c r="Q44" i="1" a="1"/>
  <c r="Q44" i="1" s="1"/>
  <c r="I44" i="1"/>
  <c r="K44" i="1" s="1" a="1"/>
  <c r="K44" i="1" s="1"/>
  <c r="K35" i="1" a="1"/>
  <c r="K35" i="1" s="1"/>
  <c r="Z42" i="1" a="1"/>
  <c r="Z42" i="1" s="1"/>
  <c r="AA42" i="1" s="1"/>
  <c r="AC42" i="1" s="1" a="1"/>
  <c r="AC42" i="1" s="1"/>
  <c r="R42" i="1"/>
  <c r="Q24" i="1" a="1"/>
  <c r="Q24" i="1" s="1"/>
  <c r="I24" i="1"/>
  <c r="K24" i="1" s="1" a="1"/>
  <c r="K24" i="1" s="1"/>
  <c r="R31" i="1"/>
  <c r="Z31" i="1" a="1"/>
  <c r="Z31" i="1" s="1"/>
  <c r="AA31" i="1" s="1"/>
  <c r="AC31" i="1" s="1" a="1"/>
  <c r="AC31" i="1" s="1"/>
  <c r="P24" i="1" a="1"/>
  <c r="P24" i="1" s="1"/>
  <c r="Y24" i="1" s="1" a="1"/>
  <c r="Y24" i="1" s="1"/>
  <c r="Q32" i="1" a="1"/>
  <c r="Q32" i="1" s="1"/>
  <c r="I32" i="1"/>
  <c r="K32" i="1" s="1" a="1"/>
  <c r="K32" i="1" s="1"/>
  <c r="Q46" i="1" a="1"/>
  <c r="Q46" i="1" s="1"/>
  <c r="I46" i="1"/>
  <c r="K46" i="1" s="1" a="1"/>
  <c r="K46" i="1" s="1"/>
  <c r="AD41" i="1"/>
  <c r="R37" i="1"/>
  <c r="T37" i="1" s="1" a="1"/>
  <c r="T37" i="1" s="1"/>
  <c r="Z37" i="1" a="1"/>
  <c r="Z37" i="1" s="1"/>
  <c r="AA37" i="1" s="1"/>
  <c r="AC37" i="1" s="1" a="1"/>
  <c r="AC37" i="1" s="1"/>
  <c r="R35" i="1"/>
  <c r="T35" i="1" s="1" a="1"/>
  <c r="T35" i="1" s="1"/>
  <c r="Z35" i="1" a="1"/>
  <c r="Z35" i="1" s="1"/>
  <c r="AA35" i="1" s="1"/>
  <c r="AC35" i="1" s="1" a="1"/>
  <c r="AC35" i="1" s="1"/>
  <c r="P36" i="1" a="1"/>
  <c r="P36" i="1" s="1"/>
  <c r="Y36" i="1" s="1" a="1"/>
  <c r="Y36" i="1" s="1"/>
  <c r="Q45" i="1" a="1"/>
  <c r="Q45" i="1" s="1"/>
  <c r="I45" i="1"/>
  <c r="K45" i="1" s="1" a="1"/>
  <c r="K45" i="1" s="1"/>
  <c r="K26" i="1" a="1"/>
  <c r="K26" i="1" s="1"/>
  <c r="P46" i="1" a="1"/>
  <c r="P46" i="1" s="1"/>
  <c r="Y46" i="1" s="1" a="1"/>
  <c r="Y46" i="1" s="1"/>
  <c r="Q36" i="1" a="1"/>
  <c r="Q36" i="1" s="1"/>
  <c r="I36" i="1"/>
  <c r="K36" i="1" s="1" a="1"/>
  <c r="K36" i="1" s="1"/>
  <c r="R26" i="1"/>
  <c r="T26" i="1" s="1" a="1"/>
  <c r="T26" i="1" s="1"/>
  <c r="Z26" i="1" a="1"/>
  <c r="Z26" i="1" s="1"/>
  <c r="AA26" i="1" s="1"/>
  <c r="AC26" i="1" s="1" a="1"/>
  <c r="AC26" i="1" s="1"/>
  <c r="AD19" i="1"/>
  <c r="AD21" i="1"/>
  <c r="P25" i="1" a="1"/>
  <c r="P25" i="1" s="1"/>
  <c r="Y25" i="1" s="1" a="1"/>
  <c r="Y25" i="1" s="1"/>
  <c r="Q29" i="1" a="1"/>
  <c r="Q29" i="1" s="1"/>
  <c r="I29" i="1"/>
  <c r="Z17" i="1" a="1"/>
  <c r="Z17" i="1" s="1"/>
  <c r="AA17" i="1" s="1"/>
  <c r="AC17" i="1" s="1" a="1"/>
  <c r="AC17" i="1" s="1"/>
  <c r="R17" i="1"/>
  <c r="T17" i="1" s="1" a="1"/>
  <c r="T17" i="1" s="1"/>
  <c r="T34" i="1" a="1"/>
  <c r="T34" i="1" s="1"/>
  <c r="AD34" i="1" s="1"/>
  <c r="Q25" i="1" a="1"/>
  <c r="Q25" i="1" s="1"/>
  <c r="I25" i="1"/>
  <c r="K25" i="1" s="1" a="1"/>
  <c r="K25" i="1" s="1"/>
  <c r="Z28" i="1" a="1"/>
  <c r="Z28" i="1" s="1"/>
  <c r="AA28" i="1" s="1"/>
  <c r="AC28" i="1" s="1" a="1"/>
  <c r="AC28" i="1" s="1"/>
  <c r="R28" i="1"/>
  <c r="Z33" i="1" a="1"/>
  <c r="Z33" i="1" s="1"/>
  <c r="AA33" i="1" s="1"/>
  <c r="AC33" i="1" s="1" a="1"/>
  <c r="AC33" i="1" s="1"/>
  <c r="R33" i="1"/>
  <c r="T22" i="1" a="1"/>
  <c r="T22" i="1" s="1"/>
  <c r="AD22" i="1" s="1"/>
  <c r="P32" i="1" a="1"/>
  <c r="P32" i="1" s="1"/>
  <c r="Y32" i="1" s="1" a="1"/>
  <c r="Y32" i="1" s="1"/>
  <c r="Z39" i="1" a="1"/>
  <c r="Z39" i="1" s="1"/>
  <c r="AA39" i="1" s="1"/>
  <c r="AC39" i="1" s="1" a="1"/>
  <c r="AC39" i="1" s="1"/>
  <c r="R39" i="1"/>
  <c r="T39" i="1" s="1" a="1"/>
  <c r="T39" i="1" s="1"/>
  <c r="K16" i="1" a="1"/>
  <c r="K16" i="1" s="1"/>
  <c r="R16" i="1"/>
  <c r="T16" i="1" s="1" a="1"/>
  <c r="T16" i="1" s="1"/>
  <c r="Z16" i="1" a="1"/>
  <c r="Z16" i="1" s="1"/>
  <c r="AA16" i="1" s="1"/>
  <c r="AC16" i="1" s="1" a="1"/>
  <c r="AC16" i="1" s="1"/>
  <c r="H15" i="1" a="1"/>
  <c r="H15" i="1" s="1"/>
  <c r="Q15" i="1" s="1" a="1"/>
  <c r="Q15" i="1" s="1"/>
  <c r="Z15" i="1" s="1" a="1"/>
  <c r="Z15" i="1" s="1"/>
  <c r="AA15" i="1" s="1"/>
  <c r="AC15" i="1" s="1" a="1"/>
  <c r="AC15" i="1" s="1"/>
  <c r="AD27" i="1" l="1"/>
  <c r="AD26" i="1"/>
  <c r="AD30" i="1"/>
  <c r="AD35" i="1"/>
  <c r="AD37" i="1"/>
  <c r="AD39" i="1"/>
  <c r="R29" i="1"/>
  <c r="T29" i="1" s="1" a="1"/>
  <c r="T29" i="1" s="1"/>
  <c r="Z29" i="1" a="1"/>
  <c r="Z29" i="1" s="1"/>
  <c r="AA29" i="1" s="1"/>
  <c r="AC29" i="1" s="1" a="1"/>
  <c r="AC29" i="1" s="1"/>
  <c r="Z36" i="1" a="1"/>
  <c r="Z36" i="1" s="1"/>
  <c r="AA36" i="1" s="1"/>
  <c r="AC36" i="1" s="1" a="1"/>
  <c r="AC36" i="1" s="1"/>
  <c r="R36" i="1"/>
  <c r="T36" i="1" s="1" a="1"/>
  <c r="T36" i="1" s="1"/>
  <c r="AD17" i="1"/>
  <c r="T33" i="1" a="1"/>
  <c r="T33" i="1" s="1"/>
  <c r="AD33" i="1" s="1"/>
  <c r="T31" i="1" a="1"/>
  <c r="T31" i="1" s="1"/>
  <c r="AD31" i="1" s="1"/>
  <c r="R44" i="1"/>
  <c r="T44" i="1" s="1" a="1"/>
  <c r="T44" i="1" s="1"/>
  <c r="Z44" i="1" a="1"/>
  <c r="Z44" i="1" s="1"/>
  <c r="AA44" i="1" s="1"/>
  <c r="AC44" i="1" s="1" a="1"/>
  <c r="AC44" i="1" s="1"/>
  <c r="Z25" i="1" a="1"/>
  <c r="Z25" i="1" s="1"/>
  <c r="AA25" i="1" s="1"/>
  <c r="AC25" i="1" s="1" a="1"/>
  <c r="AC25" i="1" s="1"/>
  <c r="R25" i="1"/>
  <c r="T25" i="1" s="1" a="1"/>
  <c r="T25" i="1" s="1"/>
  <c r="R46" i="1"/>
  <c r="T46" i="1" s="1" a="1"/>
  <c r="T46" i="1" s="1"/>
  <c r="Z46" i="1" a="1"/>
  <c r="Z46" i="1" s="1"/>
  <c r="AA46" i="1" s="1"/>
  <c r="AC46" i="1" s="1" a="1"/>
  <c r="AC46" i="1" s="1"/>
  <c r="T28" i="1" a="1"/>
  <c r="T28" i="1" s="1"/>
  <c r="AD28" i="1" s="1"/>
  <c r="K29" i="1" a="1"/>
  <c r="K29" i="1" s="1"/>
  <c r="R45" i="1"/>
  <c r="T45" i="1" s="1" a="1"/>
  <c r="T45" i="1" s="1"/>
  <c r="Z45" i="1" a="1"/>
  <c r="Z45" i="1" s="1"/>
  <c r="AA45" i="1" s="1"/>
  <c r="AC45" i="1" s="1" a="1"/>
  <c r="AC45" i="1" s="1"/>
  <c r="AD16" i="1"/>
  <c r="Z24" i="1" a="1"/>
  <c r="Z24" i="1" s="1"/>
  <c r="AA24" i="1" s="1"/>
  <c r="AC24" i="1" s="1" a="1"/>
  <c r="AC24" i="1" s="1"/>
  <c r="R24" i="1"/>
  <c r="T24" i="1" s="1" a="1"/>
  <c r="T24" i="1" s="1"/>
  <c r="R32" i="1"/>
  <c r="Z32" i="1" a="1"/>
  <c r="Z32" i="1" s="1"/>
  <c r="AA32" i="1" s="1"/>
  <c r="AC32" i="1" s="1" a="1"/>
  <c r="AC32" i="1" s="1"/>
  <c r="T42" i="1" a="1"/>
  <c r="T42" i="1" s="1"/>
  <c r="AD42" i="1" s="1"/>
  <c r="I15" i="1"/>
  <c r="K15" i="1" s="1" a="1"/>
  <c r="K15" i="1" s="1"/>
  <c r="R15" i="1"/>
  <c r="T15" i="1" s="1" a="1"/>
  <c r="T15" i="1" s="1"/>
  <c r="AD29" i="1" l="1"/>
  <c r="AD36" i="1"/>
  <c r="AD45" i="1"/>
  <c r="AD25" i="1"/>
  <c r="AD24" i="1"/>
  <c r="AD46" i="1"/>
  <c r="AD44" i="1"/>
  <c r="T32" i="1" a="1"/>
  <c r="T32" i="1" s="1"/>
  <c r="AD32" i="1" s="1"/>
  <c r="AD15" i="1"/>
  <c r="AE15" i="1" s="1"/>
  <c r="AE16" i="1" l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AE36" i="1" s="1"/>
  <c r="AE37" i="1" s="1"/>
  <c r="AE38" i="1" s="1"/>
  <c r="AE39" i="1" s="1"/>
  <c r="AE40" i="1" s="1"/>
  <c r="AE41" i="1" s="1"/>
  <c r="AE42" i="1" s="1"/>
  <c r="AE43" i="1" s="1"/>
  <c r="AE44" i="1" s="1"/>
  <c r="AE45" i="1" s="1"/>
  <c r="AE46" i="1" s="1"/>
  <c r="N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<sst xmlns="http://schemas.openxmlformats.org/spreadsheetml/2006/main" count="64" uniqueCount="35">
  <si>
    <t>dirección</t>
  </si>
  <si>
    <t>Norte</t>
  </si>
  <si>
    <t>Sur</t>
  </si>
  <si>
    <t>Este</t>
  </si>
  <si>
    <t>Oeste</t>
  </si>
  <si>
    <t>P()</t>
  </si>
  <si>
    <t>Desde</t>
  </si>
  <si>
    <t>Hasta</t>
  </si>
  <si>
    <t>Longitud</t>
  </si>
  <si>
    <t>Acierto (N)</t>
  </si>
  <si>
    <t>SI</t>
  </si>
  <si>
    <t>NO</t>
  </si>
  <si>
    <t>Acierto (Centro)</t>
  </si>
  <si>
    <t>P</t>
  </si>
  <si>
    <t>Acierto (S)</t>
  </si>
  <si>
    <t>Experimento</t>
  </si>
  <si>
    <t>Movimiento 1</t>
  </si>
  <si>
    <t>rnd_direccion</t>
  </si>
  <si>
    <t>direccion</t>
  </si>
  <si>
    <t>rnd_longitud</t>
  </si>
  <si>
    <t>longitud</t>
  </si>
  <si>
    <t>x_1</t>
  </si>
  <si>
    <t>y_1</t>
  </si>
  <si>
    <t>Movimiento 2</t>
  </si>
  <si>
    <t>Movimiento 3</t>
  </si>
  <si>
    <t>y_3</t>
  </si>
  <si>
    <t>x_3</t>
  </si>
  <si>
    <t>y_2</t>
  </si>
  <si>
    <t>x_2</t>
  </si>
  <si>
    <t>ubicación</t>
  </si>
  <si>
    <t>rnd_acierto</t>
  </si>
  <si>
    <t>acierto</t>
  </si>
  <si>
    <t>aciertos</t>
  </si>
  <si>
    <t>2 disparos o mas</t>
  </si>
  <si>
    <t>la probabilidad de que el dron acierte dos o más
disparos en cada acción es 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</si>
</sst>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2" fillId="5" borderId="1" xfId="0" applyFont="1" applyFill="1" applyBorder="1" applyAlignment="1">
      <alignment horizontal="left" wrapText="1"/>
    </xf>
    <xf numFmtId="0" fontId="2" fillId="5" borderId="2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2" fillId="5" borderId="4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/>
    </xf>
    <xf numFmtId="0" fontId="2" fillId="5" borderId="5" xfId="0" applyFont="1" applyFill="1" applyBorder="1" applyAlignment="1">
      <alignment horizontal="left"/>
    </xf>
    <xf numFmtId="0" fontId="1" fillId="6" borderId="6" xfId="0" applyFont="1" applyFill="1" applyBorder="1"/>
    <xf numFmtId="0" fontId="0" fillId="6" borderId="7" xfId="0" applyFill="1" applyBorder="1"/>
    <xf numFmtId="0" fontId="0" fillId="6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E3D3-F183-2B41-8DE7-A2FB2F450825}">
  <dimension ref="B1:AE46"/>
  <sheetViews>
    <sheetView tabSelected="1" workbookViewId="0">
      <selection activeCell="J17" sqref="J17"/>
    </sheetView>
  </sheetViews>
  <sheetFormatPr baseColWidth="10" defaultRowHeight="19" x14ac:dyDescent="0.25"/>
  <cols>
    <col min="2" max="2" width="11" bestFit="1" customWidth="1"/>
    <col min="3" max="3" width="11.85546875" bestFit="1" customWidth="1"/>
    <col min="4" max="4" width="8.42578125" bestFit="1" customWidth="1"/>
    <col min="5" max="5" width="10.7109375" bestFit="1" customWidth="1"/>
    <col min="6" max="6" width="7.28515625" bestFit="1" customWidth="1"/>
    <col min="7" max="8" width="3.7109375" bestFit="1" customWidth="1"/>
    <col min="9" max="9" width="14.140625" bestFit="1" customWidth="1"/>
    <col min="10" max="10" width="10" bestFit="1" customWidth="1"/>
    <col min="11" max="11" width="6.5703125" bestFit="1" customWidth="1"/>
    <col min="12" max="12" width="11.85546875" bestFit="1" customWidth="1"/>
    <col min="13" max="13" width="8.42578125" bestFit="1" customWidth="1"/>
    <col min="14" max="14" width="10.7109375" bestFit="1" customWidth="1"/>
    <col min="15" max="15" width="7.28515625" bestFit="1" customWidth="1"/>
    <col min="16" max="17" width="3.7109375" bestFit="1" customWidth="1"/>
    <col min="18" max="18" width="8.85546875" bestFit="1" customWidth="1"/>
    <col min="19" max="19" width="10" bestFit="1" customWidth="1"/>
    <col min="20" max="20" width="6.5703125" bestFit="1" customWidth="1"/>
    <col min="21" max="21" width="11.85546875" bestFit="1" customWidth="1"/>
    <col min="22" max="22" width="8.42578125" bestFit="1" customWidth="1"/>
    <col min="23" max="23" width="10.7109375" bestFit="1" customWidth="1"/>
    <col min="24" max="24" width="7.28515625" bestFit="1" customWidth="1"/>
    <col min="25" max="25" width="3.7109375" bestFit="1" customWidth="1"/>
    <col min="26" max="26" width="4.5703125" bestFit="1" customWidth="1"/>
    <col min="27" max="27" width="8.85546875" bestFit="1" customWidth="1"/>
    <col min="28" max="28" width="10" bestFit="1" customWidth="1"/>
    <col min="29" max="29" width="6.5703125" bestFit="1" customWidth="1"/>
    <col min="30" max="30" width="7.42578125" bestFit="1" customWidth="1"/>
    <col min="31" max="31" width="14.42578125" bestFit="1" customWidth="1"/>
  </cols>
  <sheetData>
    <row r="1" spans="2:31" x14ac:dyDescent="0.25">
      <c r="B1" s="6" t="s">
        <v>8</v>
      </c>
      <c r="C1" s="6" t="s">
        <v>5</v>
      </c>
      <c r="D1" s="6" t="s">
        <v>6</v>
      </c>
      <c r="E1" s="6" t="s">
        <v>7</v>
      </c>
      <c r="I1" s="6" t="s">
        <v>9</v>
      </c>
      <c r="J1" s="6" t="s">
        <v>13</v>
      </c>
      <c r="K1" s="6" t="s">
        <v>6</v>
      </c>
      <c r="L1" s="6" t="s">
        <v>7</v>
      </c>
    </row>
    <row r="2" spans="2:31" x14ac:dyDescent="0.25">
      <c r="B2">
        <v>20</v>
      </c>
      <c r="C2">
        <v>0.3</v>
      </c>
      <c r="D2">
        <v>0</v>
      </c>
      <c r="E2">
        <f>+C2+D2</f>
        <v>0.3</v>
      </c>
      <c r="I2" t="s">
        <v>10</v>
      </c>
      <c r="J2">
        <v>0.7</v>
      </c>
      <c r="K2">
        <v>0</v>
      </c>
      <c r="L2">
        <f>+J2+K2</f>
        <v>0.7</v>
      </c>
    </row>
    <row r="3" spans="2:31" x14ac:dyDescent="0.25">
      <c r="B3">
        <v>40</v>
      </c>
      <c r="C3">
        <v>0.5</v>
      </c>
      <c r="D3">
        <f>+E2</f>
        <v>0.3</v>
      </c>
      <c r="E3">
        <f t="shared" ref="E3:E4" si="0">+C3+D3</f>
        <v>0.8</v>
      </c>
      <c r="I3" t="s">
        <v>11</v>
      </c>
      <c r="J3">
        <v>0.3</v>
      </c>
      <c r="K3">
        <f>+L2</f>
        <v>0.7</v>
      </c>
      <c r="L3">
        <f t="shared" ref="L3" si="1">+J3+K3</f>
        <v>1</v>
      </c>
    </row>
    <row r="4" spans="2:31" x14ac:dyDescent="0.25">
      <c r="B4">
        <v>50</v>
      </c>
      <c r="C4">
        <v>0.2</v>
      </c>
      <c r="D4">
        <f t="shared" ref="D4" si="2">+E3</f>
        <v>0.8</v>
      </c>
      <c r="E4">
        <f t="shared" si="0"/>
        <v>1</v>
      </c>
    </row>
    <row r="5" spans="2:31" x14ac:dyDescent="0.25">
      <c r="I5" s="6" t="s">
        <v>12</v>
      </c>
      <c r="J5" s="6" t="s">
        <v>13</v>
      </c>
      <c r="K5" s="6" t="s">
        <v>6</v>
      </c>
      <c r="L5" s="6" t="s">
        <v>7</v>
      </c>
      <c r="N5" s="7" t="s">
        <v>34</v>
      </c>
      <c r="O5" s="8"/>
      <c r="P5" s="8"/>
      <c r="Q5" s="9"/>
    </row>
    <row r="6" spans="2:31" x14ac:dyDescent="0.25">
      <c r="B6" t="s">
        <v>0</v>
      </c>
      <c r="C6" t="s">
        <v>5</v>
      </c>
      <c r="D6" t="s">
        <v>6</v>
      </c>
      <c r="E6" t="s">
        <v>7</v>
      </c>
      <c r="I6" t="s">
        <v>10</v>
      </c>
      <c r="J6">
        <v>0.8</v>
      </c>
      <c r="K6">
        <v>0</v>
      </c>
      <c r="L6">
        <f>+J6+K6</f>
        <v>0.8</v>
      </c>
      <c r="N6" s="10"/>
      <c r="O6" s="11"/>
      <c r="P6" s="11"/>
      <c r="Q6" s="12"/>
    </row>
    <row r="7" spans="2:31" x14ac:dyDescent="0.25">
      <c r="B7" t="s">
        <v>1</v>
      </c>
      <c r="C7">
        <v>0.35</v>
      </c>
      <c r="D7">
        <v>0</v>
      </c>
      <c r="E7">
        <f>+C7+D7</f>
        <v>0.35</v>
      </c>
      <c r="I7" t="s">
        <v>11</v>
      </c>
      <c r="J7">
        <v>0.2</v>
      </c>
      <c r="K7">
        <f>+L6</f>
        <v>0.8</v>
      </c>
      <c r="L7">
        <f t="shared" ref="L7" si="3">+J7+K7</f>
        <v>1</v>
      </c>
      <c r="N7" s="13" t="str">
        <f ca="1">+MAX(AE:AE) / MAX(B15:B1048576) * 100 &amp; "%"</f>
        <v>62.5%</v>
      </c>
      <c r="O7" s="14"/>
      <c r="P7" s="14"/>
      <c r="Q7" s="15"/>
    </row>
    <row r="8" spans="2:31" x14ac:dyDescent="0.25">
      <c r="B8" t="s">
        <v>2</v>
      </c>
      <c r="C8">
        <v>0.3</v>
      </c>
      <c r="D8">
        <f>+E7</f>
        <v>0.35</v>
      </c>
      <c r="E8">
        <f t="shared" ref="E8:E10" si="4">+C8+D8</f>
        <v>0.64999999999999991</v>
      </c>
    </row>
    <row r="9" spans="2:31" x14ac:dyDescent="0.25">
      <c r="B9" t="s">
        <v>3</v>
      </c>
      <c r="C9">
        <v>0.15</v>
      </c>
      <c r="D9">
        <f t="shared" ref="D9:D10" si="5">+E8</f>
        <v>0.64999999999999991</v>
      </c>
      <c r="E9">
        <f t="shared" si="4"/>
        <v>0.79999999999999993</v>
      </c>
      <c r="I9" s="6" t="s">
        <v>14</v>
      </c>
      <c r="J9" s="6" t="s">
        <v>13</v>
      </c>
      <c r="K9" s="6" t="s">
        <v>6</v>
      </c>
      <c r="L9" s="6" t="s">
        <v>7</v>
      </c>
    </row>
    <row r="10" spans="2:31" x14ac:dyDescent="0.25">
      <c r="B10" t="s">
        <v>4</v>
      </c>
      <c r="C10">
        <v>0.2</v>
      </c>
      <c r="D10">
        <f t="shared" si="5"/>
        <v>0.79999999999999993</v>
      </c>
      <c r="E10">
        <f t="shared" si="4"/>
        <v>1</v>
      </c>
      <c r="I10" t="s">
        <v>10</v>
      </c>
      <c r="J10">
        <v>0.4</v>
      </c>
      <c r="K10">
        <v>0</v>
      </c>
      <c r="L10">
        <f>+J10+K10</f>
        <v>0.4</v>
      </c>
    </row>
    <row r="11" spans="2:31" x14ac:dyDescent="0.25">
      <c r="I11" t="s">
        <v>11</v>
      </c>
      <c r="J11">
        <v>0.6</v>
      </c>
      <c r="K11">
        <f>+L10</f>
        <v>0.4</v>
      </c>
      <c r="L11">
        <f t="shared" ref="L11" si="6">+J11+K11</f>
        <v>1</v>
      </c>
    </row>
    <row r="13" spans="2:31" x14ac:dyDescent="0.25">
      <c r="B13" s="5" t="s">
        <v>15</v>
      </c>
      <c r="C13" s="1" t="s">
        <v>16</v>
      </c>
      <c r="D13" s="1"/>
      <c r="E13" s="1"/>
      <c r="F13" s="1"/>
      <c r="G13" s="1"/>
      <c r="H13" s="1"/>
      <c r="I13" s="1"/>
      <c r="J13" s="1"/>
      <c r="K13" s="1"/>
      <c r="L13" s="2" t="s">
        <v>23</v>
      </c>
      <c r="M13" s="2"/>
      <c r="N13" s="2"/>
      <c r="O13" s="2"/>
      <c r="P13" s="2"/>
      <c r="Q13" s="2"/>
      <c r="R13" s="2"/>
      <c r="S13" s="2"/>
      <c r="T13" s="2"/>
      <c r="U13" s="3" t="s">
        <v>24</v>
      </c>
      <c r="V13" s="3"/>
      <c r="W13" s="3"/>
      <c r="X13" s="3"/>
      <c r="Y13" s="3"/>
      <c r="Z13" s="3"/>
      <c r="AA13" s="3"/>
      <c r="AB13" s="3"/>
      <c r="AC13" s="3"/>
    </row>
    <row r="14" spans="2:31" x14ac:dyDescent="0.25">
      <c r="B14" s="5"/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29</v>
      </c>
      <c r="J14" t="s">
        <v>30</v>
      </c>
      <c r="K14" t="s">
        <v>31</v>
      </c>
      <c r="L14" t="s">
        <v>17</v>
      </c>
      <c r="M14" t="s">
        <v>18</v>
      </c>
      <c r="N14" t="s">
        <v>19</v>
      </c>
      <c r="O14" t="s">
        <v>20</v>
      </c>
      <c r="P14" t="s">
        <v>28</v>
      </c>
      <c r="Q14" t="s">
        <v>27</v>
      </c>
      <c r="R14" t="s">
        <v>29</v>
      </c>
      <c r="S14" t="s">
        <v>30</v>
      </c>
      <c r="T14" t="s">
        <v>31</v>
      </c>
      <c r="U14" t="s">
        <v>17</v>
      </c>
      <c r="V14" t="s">
        <v>18</v>
      </c>
      <c r="W14" t="s">
        <v>19</v>
      </c>
      <c r="X14" t="s">
        <v>20</v>
      </c>
      <c r="Y14" t="s">
        <v>26</v>
      </c>
      <c r="Z14" t="s">
        <v>25</v>
      </c>
      <c r="AA14" t="s">
        <v>29</v>
      </c>
      <c r="AB14" t="s">
        <v>30</v>
      </c>
      <c r="AC14" t="s">
        <v>31</v>
      </c>
      <c r="AD14" t="s">
        <v>32</v>
      </c>
      <c r="AE14" t="s">
        <v>33</v>
      </c>
    </row>
    <row r="15" spans="2:31" x14ac:dyDescent="0.25">
      <c r="B15">
        <v>1</v>
      </c>
      <c r="C15" s="4">
        <f ca="1">+RAND()</f>
        <v>0.1715990870984947</v>
      </c>
      <c r="D15" t="str">
        <f ca="1">+LOOKUP(C15,$D$7:$D$10,$B$7:$B$10)</f>
        <v>Norte</v>
      </c>
      <c r="E15" s="4">
        <f ca="1">+RAND()</f>
        <v>0.78496251650010196</v>
      </c>
      <c r="F15">
        <f ca="1">+LOOKUP(E15,$D$2:$D$4,$B$2:$B$4)</f>
        <v>40</v>
      </c>
      <c r="G15" cm="1">
        <f t="array" aca="1" ref="G15" ca="1">+_xlfn.SWITCH(D15,"Este", 1, "Oeste",-1, 0)*F15</f>
        <v>0</v>
      </c>
      <c r="H15" cm="1">
        <f t="array" aca="1" ref="H15" ca="1">+_xlfn.SWITCH(D15,"Norte", 1, "Sur",-1, 0)*F15</f>
        <v>40</v>
      </c>
      <c r="I15" t="str">
        <f ca="1">+IF(H15&gt;0,"Norte",IF(H15&lt;0,"Sur","Centro"))</f>
        <v>Norte</v>
      </c>
      <c r="J15" s="4">
        <f ca="1">+RAND()</f>
        <v>0.51361302439732548</v>
      </c>
      <c r="K15" t="str" cm="1">
        <f t="array" aca="1" ref="K15" ca="1">+_xlfn.SWITCH(I15,"Norte",LOOKUP(J15,$K$2:$K$3,$I$2:$I$3),"Centro",LOOKUP(J15,$K$6:$K$7,$I$6:$I$7),LOOKUP(J15,$K$10:$K$11,$I$10:$I$11))</f>
        <v>SI</v>
      </c>
      <c r="L15" s="4">
        <f ca="1">+RAND()</f>
        <v>0.17453103146957072</v>
      </c>
      <c r="M15" t="str">
        <f ca="1">+LOOKUP(L15,$D$7:$D$10,$B$7:$B$10)</f>
        <v>Norte</v>
      </c>
      <c r="N15" s="4">
        <f ca="1">+RAND()</f>
        <v>1.395762649077259E-2</v>
      </c>
      <c r="O15">
        <f ca="1">+LOOKUP(N15,$D$2:$D$4,$B$2:$B$4)</f>
        <v>20</v>
      </c>
      <c r="P15" cm="1">
        <f t="array" aca="1" ref="P15" ca="1">G15+_xlfn.SWITCH(M15,"Este", 1, "Oeste",-1, 0)*O15</f>
        <v>0</v>
      </c>
      <c r="Q15" cm="1">
        <f t="array" aca="1" ref="Q15" ca="1">H15+_xlfn.SWITCH(M15,"Norte", 1, "Sur",-1, 0)*O15</f>
        <v>60</v>
      </c>
      <c r="R15" t="str">
        <f ca="1">+IF(Q15&gt;0,"Norte",IF(Q15&lt;0,"Sur","Centro"))</f>
        <v>Norte</v>
      </c>
      <c r="S15" s="4">
        <f ca="1">+RAND()</f>
        <v>0.29009683244068485</v>
      </c>
      <c r="T15" t="str" cm="1">
        <f t="array" aca="1" ref="T15" ca="1">+_xlfn.SWITCH(R15,"Norte",LOOKUP(S15,$K$2:$K$3,$I$2:$I$3),"Centro",LOOKUP(S15,$K$6:$K$7,$I$6:$I$7),LOOKUP(S15,$K$10:$K$11,$I$10:$I$11))</f>
        <v>SI</v>
      </c>
      <c r="U15" s="4">
        <f ca="1">+RAND()</f>
        <v>0.68447462486931332</v>
      </c>
      <c r="V15" t="str">
        <f ca="1">+LOOKUP(U15,$D$7:$D$10,$B$7:$B$10)</f>
        <v>Este</v>
      </c>
      <c r="W15" s="4">
        <f ca="1">+RAND()</f>
        <v>0.55586151226443714</v>
      </c>
      <c r="X15">
        <f ca="1">+LOOKUP(W15,$D$2:$D$4,$B$2:$B$4)</f>
        <v>40</v>
      </c>
      <c r="Y15" cm="1">
        <f t="array" aca="1" ref="Y15" ca="1">P15+_xlfn.SWITCH(V15,"Este", 1, "Oeste",-1, 0)*X15</f>
        <v>40</v>
      </c>
      <c r="Z15" cm="1">
        <f t="array" aca="1" ref="Z15" ca="1">Q15+_xlfn.SWITCH(V15,"Norte", 1, "Sur",-1, 0)*X15</f>
        <v>60</v>
      </c>
      <c r="AA15" t="str">
        <f ca="1">+IF(Z15&gt;0,"Norte",IF(Z15&lt;0,"Sur","Centro"))</f>
        <v>Norte</v>
      </c>
      <c r="AB15" s="4">
        <f ca="1">+RAND()</f>
        <v>0.91465018730239844</v>
      </c>
      <c r="AC15" t="str" cm="1">
        <f t="array" aca="1" ref="AC15" ca="1">+_xlfn.SWITCH(AA15,"Norte",LOOKUP(AB15,$K$2:$K$3,$I$2:$I$3),"Centro",LOOKUP(AB15,$K$6:$K$7,$I$6:$I$7),LOOKUP(AB15,$K$10:$K$11,$I$10:$I$11))</f>
        <v>NO</v>
      </c>
      <c r="AD15">
        <f ca="1">+COUNTIF(C15:AC15,"SI")</f>
        <v>2</v>
      </c>
      <c r="AE15">
        <f ca="1">--(AD15&gt;1)</f>
        <v>1</v>
      </c>
    </row>
    <row r="16" spans="2:31" x14ac:dyDescent="0.25">
      <c r="B16">
        <f>+B15+1</f>
        <v>2</v>
      </c>
      <c r="C16" s="4">
        <f ca="1">+RAND()</f>
        <v>0.16691975054566477</v>
      </c>
      <c r="D16" t="str">
        <f ca="1">+LOOKUP(C16,$D$7:$D$10,$B$7:$B$10)</f>
        <v>Norte</v>
      </c>
      <c r="E16" s="4">
        <f ca="1">+RAND()</f>
        <v>0.87595097955084888</v>
      </c>
      <c r="F16">
        <f ca="1">+LOOKUP(E16,$D$2:$D$4,$B$2:$B$4)</f>
        <v>50</v>
      </c>
      <c r="G16" cm="1">
        <f t="array" aca="1" ref="G16" ca="1">+_xlfn.SWITCH(D16,"Este", 1, "Oeste",-1, 0)*F16</f>
        <v>0</v>
      </c>
      <c r="H16" cm="1">
        <f t="array" aca="1" ref="H16" ca="1">+_xlfn.SWITCH(D16,"Norte", 1, "Sur",-1, 0)*F16</f>
        <v>50</v>
      </c>
      <c r="I16" t="str">
        <f ca="1">+IF(H16&gt;0,"Norte",IF(H16&lt;0,"Sur","Centro"))</f>
        <v>Norte</v>
      </c>
      <c r="J16" s="4">
        <f ca="1">+RAND()</f>
        <v>0.74802234195548656</v>
      </c>
      <c r="K16" t="str" cm="1">
        <f t="array" aca="1" ref="K16" ca="1">+_xlfn.SWITCH(I16,"Norte",LOOKUP(J16,$K$2:$K$3,$I$2:$I$3),"Centro",LOOKUP(J16,$K$6:$K$7,$I$6:$I$7),LOOKUP(J16,$K$10:$K$11,$I$10:$I$11))</f>
        <v>NO</v>
      </c>
      <c r="L16" s="4">
        <f ca="1">+RAND()</f>
        <v>0.56904840681473068</v>
      </c>
      <c r="M16" t="str">
        <f ca="1">+LOOKUP(L16,$D$7:$D$10,$B$7:$B$10)</f>
        <v>Sur</v>
      </c>
      <c r="N16" s="4">
        <f ca="1">+RAND()</f>
        <v>0.43638272169963832</v>
      </c>
      <c r="O16">
        <f ca="1">+LOOKUP(N16,$D$2:$D$4,$B$2:$B$4)</f>
        <v>40</v>
      </c>
      <c r="P16" cm="1">
        <f t="array" aca="1" ref="P16" ca="1">G16+_xlfn.SWITCH(M16,"Este", 1, "Oeste",-1, 0)*O16</f>
        <v>0</v>
      </c>
      <c r="Q16" cm="1">
        <f t="array" aca="1" ref="Q16" ca="1">H16+_xlfn.SWITCH(M16,"Norte", 1, "Sur",-1, 0)*O16</f>
        <v>10</v>
      </c>
      <c r="R16" t="str">
        <f ca="1">+IF(Q16&gt;0,"Norte",IF(Q16&lt;0,"Sur","Centro"))</f>
        <v>Norte</v>
      </c>
      <c r="S16" s="4">
        <f ca="1">+RAND()</f>
        <v>0.37607428384304409</v>
      </c>
      <c r="T16" t="str" cm="1">
        <f t="array" aca="1" ref="T16" ca="1">+_xlfn.SWITCH(R16,"Norte",LOOKUP(S16,$K$2:$K$3,$I$2:$I$3),"Centro",LOOKUP(S16,$K$6:$K$7,$I$6:$I$7),LOOKUP(S16,$K$10:$K$11,$I$10:$I$11))</f>
        <v>SI</v>
      </c>
      <c r="U16" s="4">
        <f ca="1">+RAND()</f>
        <v>0.37504145529063837</v>
      </c>
      <c r="V16" t="str">
        <f ca="1">+LOOKUP(U16,$D$7:$D$10,$B$7:$B$10)</f>
        <v>Sur</v>
      </c>
      <c r="W16" s="4">
        <f ca="1">+RAND()</f>
        <v>0.75839939967552217</v>
      </c>
      <c r="X16">
        <f ca="1">+LOOKUP(W16,$D$2:$D$4,$B$2:$B$4)</f>
        <v>40</v>
      </c>
      <c r="Y16" cm="1">
        <f t="array" aca="1" ref="Y16" ca="1">P16+_xlfn.SWITCH(V16,"Este", 1, "Oeste",-1, 0)*X16</f>
        <v>0</v>
      </c>
      <c r="Z16" cm="1">
        <f t="array" aca="1" ref="Z16" ca="1">Q16+_xlfn.SWITCH(V16,"Norte", 1, "Sur",-1, 0)*X16</f>
        <v>-30</v>
      </c>
      <c r="AA16" t="str">
        <f ca="1">+IF(Z16&gt;0,"Norte",IF(Z16&lt;0,"Sur","Centro"))</f>
        <v>Sur</v>
      </c>
      <c r="AB16" s="4">
        <f ca="1">+RAND()</f>
        <v>7.8570570333332146E-2</v>
      </c>
      <c r="AC16" t="str" cm="1">
        <f t="array" aca="1" ref="AC16" ca="1">+_xlfn.SWITCH(AA16,"Norte",LOOKUP(AB16,$K$2:$K$3,$I$2:$I$3),"Centro",LOOKUP(AB16,$K$6:$K$7,$I$6:$I$7),LOOKUP(AB16,$K$10:$K$11,$I$10:$I$11))</f>
        <v>SI</v>
      </c>
      <c r="AD16">
        <f ca="1">+COUNTIF(C16:AC16,"SI")</f>
        <v>2</v>
      </c>
      <c r="AE16">
        <f ca="1">--(AD16&gt;1)+AE15</f>
        <v>2</v>
      </c>
    </row>
    <row r="17" spans="2:31" x14ac:dyDescent="0.25">
      <c r="B17">
        <f t="shared" ref="B17:B46" si="7">+B16+1</f>
        <v>3</v>
      </c>
      <c r="C17" s="4">
        <f t="shared" ref="C17:C46" ca="1" si="8">+RAND()</f>
        <v>0.13198631165684704</v>
      </c>
      <c r="D17" t="str">
        <f t="shared" ref="D17:D46" ca="1" si="9">+LOOKUP(C17,$D$7:$D$10,$B$7:$B$10)</f>
        <v>Norte</v>
      </c>
      <c r="E17" s="4">
        <f t="shared" ref="E17:E46" ca="1" si="10">+RAND()</f>
        <v>7.553391855789704E-2</v>
      </c>
      <c r="F17">
        <f t="shared" ref="F17:F46" ca="1" si="11">+LOOKUP(E17,$D$2:$D$4,$B$2:$B$4)</f>
        <v>20</v>
      </c>
      <c r="G17" cm="1">
        <f t="array" aca="1" ref="G17" ca="1">+_xlfn.SWITCH(D17,"Este", 1, "Oeste",-1, 0)*F17</f>
        <v>0</v>
      </c>
      <c r="H17" cm="1">
        <f t="array" aca="1" ref="H17" ca="1">+_xlfn.SWITCH(D17,"Norte", 1, "Sur",-1, 0)*F17</f>
        <v>20</v>
      </c>
      <c r="I17" t="str">
        <f t="shared" ref="I17:I46" ca="1" si="12">+IF(H17&gt;0,"Norte",IF(H17&lt;0,"Sur","Centro"))</f>
        <v>Norte</v>
      </c>
      <c r="J17" s="4">
        <f t="shared" ref="J17:J46" ca="1" si="13">+RAND()</f>
        <v>0.57236782039840228</v>
      </c>
      <c r="K17" t="str" cm="1">
        <f t="array" aca="1" ref="K17" ca="1">+_xlfn.SWITCH(I17,"Norte",LOOKUP(J17,$K$2:$K$3,$I$2:$I$3),"Centro",LOOKUP(J17,$K$6:$K$7,$I$6:$I$7),LOOKUP(J17,$K$10:$K$11,$I$10:$I$11))</f>
        <v>SI</v>
      </c>
      <c r="L17" s="4">
        <f t="shared" ref="L17:L46" ca="1" si="14">+RAND()</f>
        <v>0.61508771312851074</v>
      </c>
      <c r="M17" t="str">
        <f t="shared" ref="M17:M46" ca="1" si="15">+LOOKUP(L17,$D$7:$D$10,$B$7:$B$10)</f>
        <v>Sur</v>
      </c>
      <c r="N17" s="4">
        <f t="shared" ref="N17:N46" ca="1" si="16">+RAND()</f>
        <v>0.41703174984965286</v>
      </c>
      <c r="O17">
        <f t="shared" ref="O17:O46" ca="1" si="17">+LOOKUP(N17,$D$2:$D$4,$B$2:$B$4)</f>
        <v>40</v>
      </c>
      <c r="P17" cm="1">
        <f t="array" aca="1" ref="P17" ca="1">G17+_xlfn.SWITCH(M17,"Este", 1, "Oeste",-1, 0)*O17</f>
        <v>0</v>
      </c>
      <c r="Q17" cm="1">
        <f t="array" aca="1" ref="Q17" ca="1">H17+_xlfn.SWITCH(M17,"Norte", 1, "Sur",-1, 0)*O17</f>
        <v>-20</v>
      </c>
      <c r="R17" t="str">
        <f t="shared" ref="R17:R46" ca="1" si="18">+IF(Q17&gt;0,"Norte",IF(Q17&lt;0,"Sur","Centro"))</f>
        <v>Sur</v>
      </c>
      <c r="S17" s="4">
        <f t="shared" ref="S17:S46" ca="1" si="19">+RAND()</f>
        <v>0.66321338769968941</v>
      </c>
      <c r="T17" t="str" cm="1">
        <f t="array" aca="1" ref="T17" ca="1">+_xlfn.SWITCH(R17,"Norte",LOOKUP(S17,$K$2:$K$3,$I$2:$I$3),"Centro",LOOKUP(S17,$K$6:$K$7,$I$6:$I$7),LOOKUP(S17,$K$10:$K$11,$I$10:$I$11))</f>
        <v>NO</v>
      </c>
      <c r="U17" s="4">
        <f t="shared" ref="U17:U46" ca="1" si="20">+RAND()</f>
        <v>0.47228179645184631</v>
      </c>
      <c r="V17" t="str">
        <f t="shared" ref="V17:V46" ca="1" si="21">+LOOKUP(U17,$D$7:$D$10,$B$7:$B$10)</f>
        <v>Sur</v>
      </c>
      <c r="W17" s="4">
        <f t="shared" ref="W17:W46" ca="1" si="22">+RAND()</f>
        <v>0.51462254013628816</v>
      </c>
      <c r="X17">
        <f t="shared" ref="X17:X46" ca="1" si="23">+LOOKUP(W17,$D$2:$D$4,$B$2:$B$4)</f>
        <v>40</v>
      </c>
      <c r="Y17" cm="1">
        <f t="array" aca="1" ref="Y17" ca="1">P17+_xlfn.SWITCH(V17,"Este", 1, "Oeste",-1, 0)*X17</f>
        <v>0</v>
      </c>
      <c r="Z17" cm="1">
        <f t="array" aca="1" ref="Z17" ca="1">Q17+_xlfn.SWITCH(V17,"Norte", 1, "Sur",-1, 0)*X17</f>
        <v>-60</v>
      </c>
      <c r="AA17" t="str">
        <f t="shared" ref="AA17:AA46" ca="1" si="24">+IF(Z17&gt;0,"Norte",IF(Z17&lt;0,"Sur","Centro"))</f>
        <v>Sur</v>
      </c>
      <c r="AB17" s="4">
        <f t="shared" ref="AB17:AB46" ca="1" si="25">+RAND()</f>
        <v>0.30925645397823576</v>
      </c>
      <c r="AC17" t="str" cm="1">
        <f t="array" aca="1" ref="AC17" ca="1">+_xlfn.SWITCH(AA17,"Norte",LOOKUP(AB17,$K$2:$K$3,$I$2:$I$3),"Centro",LOOKUP(AB17,$K$6:$K$7,$I$6:$I$7),LOOKUP(AB17,$K$10:$K$11,$I$10:$I$11))</f>
        <v>SI</v>
      </c>
      <c r="AD17">
        <f t="shared" ref="AD17:AD46" ca="1" si="26">+COUNTIF(C17:AC17,"SI")</f>
        <v>2</v>
      </c>
      <c r="AE17">
        <f t="shared" ref="AE17:AE46" ca="1" si="27">--(AD17&gt;1)+AE16</f>
        <v>3</v>
      </c>
    </row>
    <row r="18" spans="2:31" x14ac:dyDescent="0.25">
      <c r="B18">
        <f t="shared" si="7"/>
        <v>4</v>
      </c>
      <c r="C18" s="4">
        <f t="shared" ca="1" si="8"/>
        <v>0.9951427635513953</v>
      </c>
      <c r="D18" t="str">
        <f t="shared" ca="1" si="9"/>
        <v>Oeste</v>
      </c>
      <c r="E18" s="4">
        <f t="shared" ca="1" si="10"/>
        <v>0.48965405283371533</v>
      </c>
      <c r="F18">
        <f t="shared" ca="1" si="11"/>
        <v>40</v>
      </c>
      <c r="G18" cm="1">
        <f t="array" aca="1" ref="G18" ca="1">+_xlfn.SWITCH(D18,"Este", 1, "Oeste",-1, 0)*F18</f>
        <v>-40</v>
      </c>
      <c r="H18" cm="1">
        <f t="array" aca="1" ref="H18" ca="1">+_xlfn.SWITCH(D18,"Norte", 1, "Sur",-1, 0)*F18</f>
        <v>0</v>
      </c>
      <c r="I18" t="str">
        <f t="shared" ca="1" si="12"/>
        <v>Centro</v>
      </c>
      <c r="J18" s="4">
        <f t="shared" ca="1" si="13"/>
        <v>0.46451164870522743</v>
      </c>
      <c r="K18" t="str" cm="1">
        <f t="array" aca="1" ref="K18" ca="1">+_xlfn.SWITCH(I18,"Norte",LOOKUP(J18,$K$2:$K$3,$I$2:$I$3),"Centro",LOOKUP(J18,$K$6:$K$7,$I$6:$I$7),LOOKUP(J18,$K$10:$K$11,$I$10:$I$11))</f>
        <v>SI</v>
      </c>
      <c r="L18" s="4">
        <f t="shared" ca="1" si="14"/>
        <v>9.5000964205965599E-2</v>
      </c>
      <c r="M18" t="str">
        <f t="shared" ca="1" si="15"/>
        <v>Norte</v>
      </c>
      <c r="N18" s="4">
        <f t="shared" ca="1" si="16"/>
        <v>0.59298857921340309</v>
      </c>
      <c r="O18">
        <f t="shared" ca="1" si="17"/>
        <v>40</v>
      </c>
      <c r="P18" cm="1">
        <f t="array" aca="1" ref="P18" ca="1">G18+_xlfn.SWITCH(M18,"Este", 1, "Oeste",-1, 0)*O18</f>
        <v>-40</v>
      </c>
      <c r="Q18" cm="1">
        <f t="array" aca="1" ref="Q18" ca="1">H18+_xlfn.SWITCH(M18,"Norte", 1, "Sur",-1, 0)*O18</f>
        <v>40</v>
      </c>
      <c r="R18" t="str">
        <f t="shared" ca="1" si="18"/>
        <v>Norte</v>
      </c>
      <c r="S18" s="4">
        <f t="shared" ca="1" si="19"/>
        <v>0.62208031767354011</v>
      </c>
      <c r="T18" t="str" cm="1">
        <f t="array" aca="1" ref="T18" ca="1">+_xlfn.SWITCH(R18,"Norte",LOOKUP(S18,$K$2:$K$3,$I$2:$I$3),"Centro",LOOKUP(S18,$K$6:$K$7,$I$6:$I$7),LOOKUP(S18,$K$10:$K$11,$I$10:$I$11))</f>
        <v>SI</v>
      </c>
      <c r="U18" s="4">
        <f t="shared" ca="1" si="20"/>
        <v>0.99625218794449599</v>
      </c>
      <c r="V18" t="str">
        <f t="shared" ca="1" si="21"/>
        <v>Oeste</v>
      </c>
      <c r="W18" s="4">
        <f t="shared" ca="1" si="22"/>
        <v>0.14558330578619172</v>
      </c>
      <c r="X18">
        <f t="shared" ca="1" si="23"/>
        <v>20</v>
      </c>
      <c r="Y18" cm="1">
        <f t="array" aca="1" ref="Y18" ca="1">P18+_xlfn.SWITCH(V18,"Este", 1, "Oeste",-1, 0)*X18</f>
        <v>-60</v>
      </c>
      <c r="Z18" cm="1">
        <f t="array" aca="1" ref="Z18" ca="1">Q18+_xlfn.SWITCH(V18,"Norte", 1, "Sur",-1, 0)*X18</f>
        <v>40</v>
      </c>
      <c r="AA18" t="str">
        <f t="shared" ca="1" si="24"/>
        <v>Norte</v>
      </c>
      <c r="AB18" s="4">
        <f t="shared" ca="1" si="25"/>
        <v>0.62008504611193893</v>
      </c>
      <c r="AC18" t="str" cm="1">
        <f t="array" aca="1" ref="AC18" ca="1">+_xlfn.SWITCH(AA18,"Norte",LOOKUP(AB18,$K$2:$K$3,$I$2:$I$3),"Centro",LOOKUP(AB18,$K$6:$K$7,$I$6:$I$7),LOOKUP(AB18,$K$10:$K$11,$I$10:$I$11))</f>
        <v>SI</v>
      </c>
      <c r="AD18">
        <f t="shared" ca="1" si="26"/>
        <v>3</v>
      </c>
      <c r="AE18">
        <f t="shared" ca="1" si="27"/>
        <v>4</v>
      </c>
    </row>
    <row r="19" spans="2:31" x14ac:dyDescent="0.25">
      <c r="B19">
        <f t="shared" si="7"/>
        <v>5</v>
      </c>
      <c r="C19" s="4">
        <f t="shared" ca="1" si="8"/>
        <v>0.24032197668146216</v>
      </c>
      <c r="D19" t="str">
        <f t="shared" ca="1" si="9"/>
        <v>Norte</v>
      </c>
      <c r="E19" s="4">
        <f t="shared" ca="1" si="10"/>
        <v>0.71462830139397304</v>
      </c>
      <c r="F19">
        <f t="shared" ca="1" si="11"/>
        <v>40</v>
      </c>
      <c r="G19" cm="1">
        <f t="array" aca="1" ref="G19" ca="1">+_xlfn.SWITCH(D19,"Este", 1, "Oeste",-1, 0)*F19</f>
        <v>0</v>
      </c>
      <c r="H19" cm="1">
        <f t="array" aca="1" ref="H19" ca="1">+_xlfn.SWITCH(D19,"Norte", 1, "Sur",-1, 0)*F19</f>
        <v>40</v>
      </c>
      <c r="I19" t="str">
        <f t="shared" ca="1" si="12"/>
        <v>Norte</v>
      </c>
      <c r="J19" s="4">
        <f t="shared" ca="1" si="13"/>
        <v>0.7847651412340354</v>
      </c>
      <c r="K19" t="str" cm="1">
        <f t="array" aca="1" ref="K19" ca="1">+_xlfn.SWITCH(I19,"Norte",LOOKUP(J19,$K$2:$K$3,$I$2:$I$3),"Centro",LOOKUP(J19,$K$6:$K$7,$I$6:$I$7),LOOKUP(J19,$K$10:$K$11,$I$10:$I$11))</f>
        <v>NO</v>
      </c>
      <c r="L19" s="4">
        <f t="shared" ca="1" si="14"/>
        <v>0.66350760803078201</v>
      </c>
      <c r="M19" t="str">
        <f t="shared" ca="1" si="15"/>
        <v>Este</v>
      </c>
      <c r="N19" s="4">
        <f t="shared" ca="1" si="16"/>
        <v>0.75378662212622027</v>
      </c>
      <c r="O19">
        <f t="shared" ca="1" si="17"/>
        <v>40</v>
      </c>
      <c r="P19" cm="1">
        <f t="array" aca="1" ref="P19" ca="1">G19+_xlfn.SWITCH(M19,"Este", 1, "Oeste",-1, 0)*O19</f>
        <v>40</v>
      </c>
      <c r="Q19" cm="1">
        <f t="array" aca="1" ref="Q19" ca="1">H19+_xlfn.SWITCH(M19,"Norte", 1, "Sur",-1, 0)*O19</f>
        <v>40</v>
      </c>
      <c r="R19" t="str">
        <f t="shared" ca="1" si="18"/>
        <v>Norte</v>
      </c>
      <c r="S19" s="4">
        <f t="shared" ca="1" si="19"/>
        <v>0.13617342416830736</v>
      </c>
      <c r="T19" t="str" cm="1">
        <f t="array" aca="1" ref="T19" ca="1">+_xlfn.SWITCH(R19,"Norte",LOOKUP(S19,$K$2:$K$3,$I$2:$I$3),"Centro",LOOKUP(S19,$K$6:$K$7,$I$6:$I$7),LOOKUP(S19,$K$10:$K$11,$I$10:$I$11))</f>
        <v>SI</v>
      </c>
      <c r="U19" s="4">
        <f t="shared" ca="1" si="20"/>
        <v>1.0852831492995874E-2</v>
      </c>
      <c r="V19" t="str">
        <f t="shared" ca="1" si="21"/>
        <v>Norte</v>
      </c>
      <c r="W19" s="4">
        <f t="shared" ca="1" si="22"/>
        <v>0.84397757751567548</v>
      </c>
      <c r="X19">
        <f t="shared" ca="1" si="23"/>
        <v>50</v>
      </c>
      <c r="Y19" cm="1">
        <f t="array" aca="1" ref="Y19" ca="1">P19+_xlfn.SWITCH(V19,"Este", 1, "Oeste",-1, 0)*X19</f>
        <v>40</v>
      </c>
      <c r="Z19" cm="1">
        <f t="array" aca="1" ref="Z19" ca="1">Q19+_xlfn.SWITCH(V19,"Norte", 1, "Sur",-1, 0)*X19</f>
        <v>90</v>
      </c>
      <c r="AA19" t="str">
        <f t="shared" ca="1" si="24"/>
        <v>Norte</v>
      </c>
      <c r="AB19" s="4">
        <f t="shared" ca="1" si="25"/>
        <v>0.26676513770979726</v>
      </c>
      <c r="AC19" t="str" cm="1">
        <f t="array" aca="1" ref="AC19" ca="1">+_xlfn.SWITCH(AA19,"Norte",LOOKUP(AB19,$K$2:$K$3,$I$2:$I$3),"Centro",LOOKUP(AB19,$K$6:$K$7,$I$6:$I$7),LOOKUP(AB19,$K$10:$K$11,$I$10:$I$11))</f>
        <v>SI</v>
      </c>
      <c r="AD19">
        <f t="shared" ca="1" si="26"/>
        <v>2</v>
      </c>
      <c r="AE19">
        <f t="shared" ca="1" si="27"/>
        <v>5</v>
      </c>
    </row>
    <row r="20" spans="2:31" x14ac:dyDescent="0.25">
      <c r="B20">
        <f t="shared" si="7"/>
        <v>6</v>
      </c>
      <c r="C20" s="4">
        <f t="shared" ca="1" si="8"/>
        <v>0.12668467042473053</v>
      </c>
      <c r="D20" t="str">
        <f t="shared" ca="1" si="9"/>
        <v>Norte</v>
      </c>
      <c r="E20" s="4">
        <f t="shared" ca="1" si="10"/>
        <v>0.46373242135715398</v>
      </c>
      <c r="F20">
        <f t="shared" ca="1" si="11"/>
        <v>40</v>
      </c>
      <c r="G20" cm="1">
        <f t="array" aca="1" ref="G20" ca="1">+_xlfn.SWITCH(D20,"Este", 1, "Oeste",-1, 0)*F20</f>
        <v>0</v>
      </c>
      <c r="H20" cm="1">
        <f t="array" aca="1" ref="H20" ca="1">+_xlfn.SWITCH(D20,"Norte", 1, "Sur",-1, 0)*F20</f>
        <v>40</v>
      </c>
      <c r="I20" t="str">
        <f t="shared" ca="1" si="12"/>
        <v>Norte</v>
      </c>
      <c r="J20" s="4">
        <f t="shared" ca="1" si="13"/>
        <v>0.56837256919677626</v>
      </c>
      <c r="K20" t="str" cm="1">
        <f t="array" aca="1" ref="K20" ca="1">+_xlfn.SWITCH(I20,"Norte",LOOKUP(J20,$K$2:$K$3,$I$2:$I$3),"Centro",LOOKUP(J20,$K$6:$K$7,$I$6:$I$7),LOOKUP(J20,$K$10:$K$11,$I$10:$I$11))</f>
        <v>SI</v>
      </c>
      <c r="L20" s="4">
        <f t="shared" ca="1" si="14"/>
        <v>0.2725843427030693</v>
      </c>
      <c r="M20" t="str">
        <f t="shared" ca="1" si="15"/>
        <v>Norte</v>
      </c>
      <c r="N20" s="4">
        <f t="shared" ca="1" si="16"/>
        <v>0.60367433712925733</v>
      </c>
      <c r="O20">
        <f t="shared" ca="1" si="17"/>
        <v>40</v>
      </c>
      <c r="P20" cm="1">
        <f t="array" aca="1" ref="P20" ca="1">G20+_xlfn.SWITCH(M20,"Este", 1, "Oeste",-1, 0)*O20</f>
        <v>0</v>
      </c>
      <c r="Q20" cm="1">
        <f t="array" aca="1" ref="Q20" ca="1">H20+_xlfn.SWITCH(M20,"Norte", 1, "Sur",-1, 0)*O20</f>
        <v>80</v>
      </c>
      <c r="R20" t="str">
        <f t="shared" ca="1" si="18"/>
        <v>Norte</v>
      </c>
      <c r="S20" s="4">
        <f t="shared" ca="1" si="19"/>
        <v>0.78067217776510556</v>
      </c>
      <c r="T20" t="str" cm="1">
        <f t="array" aca="1" ref="T20" ca="1">+_xlfn.SWITCH(R20,"Norte",LOOKUP(S20,$K$2:$K$3,$I$2:$I$3),"Centro",LOOKUP(S20,$K$6:$K$7,$I$6:$I$7),LOOKUP(S20,$K$10:$K$11,$I$10:$I$11))</f>
        <v>NO</v>
      </c>
      <c r="U20" s="4">
        <f t="shared" ca="1" si="20"/>
        <v>0.99404963145616998</v>
      </c>
      <c r="V20" t="str">
        <f t="shared" ca="1" si="21"/>
        <v>Oeste</v>
      </c>
      <c r="W20" s="4">
        <f t="shared" ca="1" si="22"/>
        <v>0.5893253658906985</v>
      </c>
      <c r="X20">
        <f t="shared" ca="1" si="23"/>
        <v>40</v>
      </c>
      <c r="Y20" cm="1">
        <f t="array" aca="1" ref="Y20" ca="1">P20+_xlfn.SWITCH(V20,"Este", 1, "Oeste",-1, 0)*X20</f>
        <v>-40</v>
      </c>
      <c r="Z20" cm="1">
        <f t="array" aca="1" ref="Z20" ca="1">Q20+_xlfn.SWITCH(V20,"Norte", 1, "Sur",-1, 0)*X20</f>
        <v>80</v>
      </c>
      <c r="AA20" t="str">
        <f t="shared" ca="1" si="24"/>
        <v>Norte</v>
      </c>
      <c r="AB20" s="4">
        <f t="shared" ca="1" si="25"/>
        <v>0.40841818368772109</v>
      </c>
      <c r="AC20" t="str" cm="1">
        <f t="array" aca="1" ref="AC20" ca="1">+_xlfn.SWITCH(AA20,"Norte",LOOKUP(AB20,$K$2:$K$3,$I$2:$I$3),"Centro",LOOKUP(AB20,$K$6:$K$7,$I$6:$I$7),LOOKUP(AB20,$K$10:$K$11,$I$10:$I$11))</f>
        <v>SI</v>
      </c>
      <c r="AD20">
        <f t="shared" ca="1" si="26"/>
        <v>2</v>
      </c>
      <c r="AE20">
        <f t="shared" ca="1" si="27"/>
        <v>6</v>
      </c>
    </row>
    <row r="21" spans="2:31" x14ac:dyDescent="0.25">
      <c r="B21">
        <f t="shared" si="7"/>
        <v>7</v>
      </c>
      <c r="C21" s="4">
        <f t="shared" ca="1" si="8"/>
        <v>0.99460868234509625</v>
      </c>
      <c r="D21" t="str">
        <f t="shared" ca="1" si="9"/>
        <v>Oeste</v>
      </c>
      <c r="E21" s="4">
        <f t="shared" ca="1" si="10"/>
        <v>0.39642137931245924</v>
      </c>
      <c r="F21">
        <f t="shared" ca="1" si="11"/>
        <v>40</v>
      </c>
      <c r="G21" cm="1">
        <f t="array" aca="1" ref="G21" ca="1">+_xlfn.SWITCH(D21,"Este", 1, "Oeste",-1, 0)*F21</f>
        <v>-40</v>
      </c>
      <c r="H21" cm="1">
        <f t="array" aca="1" ref="H21" ca="1">+_xlfn.SWITCH(D21,"Norte", 1, "Sur",-1, 0)*F21</f>
        <v>0</v>
      </c>
      <c r="I21" t="str">
        <f t="shared" ca="1" si="12"/>
        <v>Centro</v>
      </c>
      <c r="J21" s="4">
        <f t="shared" ca="1" si="13"/>
        <v>0.71148961501218622</v>
      </c>
      <c r="K21" t="str" cm="1">
        <f t="array" aca="1" ref="K21" ca="1">+_xlfn.SWITCH(I21,"Norte",LOOKUP(J21,$K$2:$K$3,$I$2:$I$3),"Centro",LOOKUP(J21,$K$6:$K$7,$I$6:$I$7),LOOKUP(J21,$K$10:$K$11,$I$10:$I$11))</f>
        <v>SI</v>
      </c>
      <c r="L21" s="4">
        <f t="shared" ca="1" si="14"/>
        <v>0.55950951966475992</v>
      </c>
      <c r="M21" t="str">
        <f t="shared" ca="1" si="15"/>
        <v>Sur</v>
      </c>
      <c r="N21" s="4">
        <f t="shared" ca="1" si="16"/>
        <v>0.52347320990740243</v>
      </c>
      <c r="O21">
        <f t="shared" ca="1" si="17"/>
        <v>40</v>
      </c>
      <c r="P21" cm="1">
        <f t="array" aca="1" ref="P21" ca="1">G21+_xlfn.SWITCH(M21,"Este", 1, "Oeste",-1, 0)*O21</f>
        <v>-40</v>
      </c>
      <c r="Q21" cm="1">
        <f t="array" aca="1" ref="Q21" ca="1">H21+_xlfn.SWITCH(M21,"Norte", 1, "Sur",-1, 0)*O21</f>
        <v>-40</v>
      </c>
      <c r="R21" t="str">
        <f t="shared" ca="1" si="18"/>
        <v>Sur</v>
      </c>
      <c r="S21" s="4">
        <f t="shared" ca="1" si="19"/>
        <v>0.31257587127376785</v>
      </c>
      <c r="T21" t="str" cm="1">
        <f t="array" aca="1" ref="T21" ca="1">+_xlfn.SWITCH(R21,"Norte",LOOKUP(S21,$K$2:$K$3,$I$2:$I$3),"Centro",LOOKUP(S21,$K$6:$K$7,$I$6:$I$7),LOOKUP(S21,$K$10:$K$11,$I$10:$I$11))</f>
        <v>SI</v>
      </c>
      <c r="U21" s="4">
        <f t="shared" ca="1" si="20"/>
        <v>0.83912314325216741</v>
      </c>
      <c r="V21" t="str">
        <f t="shared" ca="1" si="21"/>
        <v>Oeste</v>
      </c>
      <c r="W21" s="4">
        <f t="shared" ca="1" si="22"/>
        <v>0.63334895609577913</v>
      </c>
      <c r="X21">
        <f t="shared" ca="1" si="23"/>
        <v>40</v>
      </c>
      <c r="Y21" cm="1">
        <f t="array" aca="1" ref="Y21" ca="1">P21+_xlfn.SWITCH(V21,"Este", 1, "Oeste",-1, 0)*X21</f>
        <v>-80</v>
      </c>
      <c r="Z21" cm="1">
        <f t="array" aca="1" ref="Z21" ca="1">Q21+_xlfn.SWITCH(V21,"Norte", 1, "Sur",-1, 0)*X21</f>
        <v>-40</v>
      </c>
      <c r="AA21" t="str">
        <f t="shared" ca="1" si="24"/>
        <v>Sur</v>
      </c>
      <c r="AB21" s="4">
        <f t="shared" ca="1" si="25"/>
        <v>0.72222323543638822</v>
      </c>
      <c r="AC21" t="str" cm="1">
        <f t="array" aca="1" ref="AC21" ca="1">+_xlfn.SWITCH(AA21,"Norte",LOOKUP(AB21,$K$2:$K$3,$I$2:$I$3),"Centro",LOOKUP(AB21,$K$6:$K$7,$I$6:$I$7),LOOKUP(AB21,$K$10:$K$11,$I$10:$I$11))</f>
        <v>NO</v>
      </c>
      <c r="AD21">
        <f t="shared" ca="1" si="26"/>
        <v>2</v>
      </c>
      <c r="AE21">
        <f t="shared" ca="1" si="27"/>
        <v>7</v>
      </c>
    </row>
    <row r="22" spans="2:31" x14ac:dyDescent="0.25">
      <c r="B22">
        <f t="shared" si="7"/>
        <v>8</v>
      </c>
      <c r="C22" s="4">
        <f t="shared" ca="1" si="8"/>
        <v>0.63689233995401551</v>
      </c>
      <c r="D22" t="str">
        <f t="shared" ca="1" si="9"/>
        <v>Sur</v>
      </c>
      <c r="E22" s="4">
        <f t="shared" ca="1" si="10"/>
        <v>0.61923759412594515</v>
      </c>
      <c r="F22">
        <f t="shared" ca="1" si="11"/>
        <v>40</v>
      </c>
      <c r="G22" cm="1">
        <f t="array" aca="1" ref="G22" ca="1">+_xlfn.SWITCH(D22,"Este", 1, "Oeste",-1, 0)*F22</f>
        <v>0</v>
      </c>
      <c r="H22" cm="1">
        <f t="array" aca="1" ref="H22" ca="1">+_xlfn.SWITCH(D22,"Norte", 1, "Sur",-1, 0)*F22</f>
        <v>-40</v>
      </c>
      <c r="I22" t="str">
        <f t="shared" ca="1" si="12"/>
        <v>Sur</v>
      </c>
      <c r="J22" s="4">
        <f t="shared" ca="1" si="13"/>
        <v>0.19780092190525234</v>
      </c>
      <c r="K22" t="str" cm="1">
        <f t="array" aca="1" ref="K22" ca="1">+_xlfn.SWITCH(I22,"Norte",LOOKUP(J22,$K$2:$K$3,$I$2:$I$3),"Centro",LOOKUP(J22,$K$6:$K$7,$I$6:$I$7),LOOKUP(J22,$K$10:$K$11,$I$10:$I$11))</f>
        <v>SI</v>
      </c>
      <c r="L22" s="4">
        <f t="shared" ca="1" si="14"/>
        <v>0.87077993300190293</v>
      </c>
      <c r="M22" t="str">
        <f t="shared" ca="1" si="15"/>
        <v>Oeste</v>
      </c>
      <c r="N22" s="4">
        <f t="shared" ca="1" si="16"/>
        <v>0.80697114723826902</v>
      </c>
      <c r="O22">
        <f t="shared" ca="1" si="17"/>
        <v>50</v>
      </c>
      <c r="P22" cm="1">
        <f t="array" aca="1" ref="P22" ca="1">G22+_xlfn.SWITCH(M22,"Este", 1, "Oeste",-1, 0)*O22</f>
        <v>-50</v>
      </c>
      <c r="Q22" cm="1">
        <f t="array" aca="1" ref="Q22" ca="1">H22+_xlfn.SWITCH(M22,"Norte", 1, "Sur",-1, 0)*O22</f>
        <v>-40</v>
      </c>
      <c r="R22" t="str">
        <f t="shared" ca="1" si="18"/>
        <v>Sur</v>
      </c>
      <c r="S22" s="4">
        <f t="shared" ca="1" si="19"/>
        <v>0.97454381985436389</v>
      </c>
      <c r="T22" t="str" cm="1">
        <f t="array" aca="1" ref="T22" ca="1">+_xlfn.SWITCH(R22,"Norte",LOOKUP(S22,$K$2:$K$3,$I$2:$I$3),"Centro",LOOKUP(S22,$K$6:$K$7,$I$6:$I$7),LOOKUP(S22,$K$10:$K$11,$I$10:$I$11))</f>
        <v>NO</v>
      </c>
      <c r="U22" s="4">
        <f t="shared" ca="1" si="20"/>
        <v>0.82207843990101226</v>
      </c>
      <c r="V22" t="str">
        <f t="shared" ca="1" si="21"/>
        <v>Oeste</v>
      </c>
      <c r="W22" s="4">
        <f t="shared" ca="1" si="22"/>
        <v>0.89165182436382751</v>
      </c>
      <c r="X22">
        <f t="shared" ca="1" si="23"/>
        <v>50</v>
      </c>
      <c r="Y22" cm="1">
        <f t="array" aca="1" ref="Y22" ca="1">P22+_xlfn.SWITCH(V22,"Este", 1, "Oeste",-1, 0)*X22</f>
        <v>-100</v>
      </c>
      <c r="Z22" cm="1">
        <f t="array" aca="1" ref="Z22" ca="1">Q22+_xlfn.SWITCH(V22,"Norte", 1, "Sur",-1, 0)*X22</f>
        <v>-40</v>
      </c>
      <c r="AA22" t="str">
        <f t="shared" ca="1" si="24"/>
        <v>Sur</v>
      </c>
      <c r="AB22" s="4">
        <f t="shared" ca="1" si="25"/>
        <v>0.47673109070494901</v>
      </c>
      <c r="AC22" t="str" cm="1">
        <f t="array" aca="1" ref="AC22" ca="1">+_xlfn.SWITCH(AA22,"Norte",LOOKUP(AB22,$K$2:$K$3,$I$2:$I$3),"Centro",LOOKUP(AB22,$K$6:$K$7,$I$6:$I$7),LOOKUP(AB22,$K$10:$K$11,$I$10:$I$11))</f>
        <v>NO</v>
      </c>
      <c r="AD22">
        <f t="shared" ca="1" si="26"/>
        <v>1</v>
      </c>
      <c r="AE22">
        <f t="shared" ca="1" si="27"/>
        <v>7</v>
      </c>
    </row>
    <row r="23" spans="2:31" x14ac:dyDescent="0.25">
      <c r="B23">
        <f t="shared" si="7"/>
        <v>9</v>
      </c>
      <c r="C23" s="4">
        <f t="shared" ca="1" si="8"/>
        <v>0.54720183156533131</v>
      </c>
      <c r="D23" t="str">
        <f t="shared" ca="1" si="9"/>
        <v>Sur</v>
      </c>
      <c r="E23" s="4">
        <f t="shared" ca="1" si="10"/>
        <v>8.0061139480132715E-2</v>
      </c>
      <c r="F23">
        <f t="shared" ca="1" si="11"/>
        <v>20</v>
      </c>
      <c r="G23" cm="1">
        <f t="array" aca="1" ref="G23" ca="1">+_xlfn.SWITCH(D23,"Este", 1, "Oeste",-1, 0)*F23</f>
        <v>0</v>
      </c>
      <c r="H23" cm="1">
        <f t="array" aca="1" ref="H23" ca="1">+_xlfn.SWITCH(D23,"Norte", 1, "Sur",-1, 0)*F23</f>
        <v>-20</v>
      </c>
      <c r="I23" t="str">
        <f t="shared" ca="1" si="12"/>
        <v>Sur</v>
      </c>
      <c r="J23" s="4">
        <f t="shared" ca="1" si="13"/>
        <v>0.20321921261544396</v>
      </c>
      <c r="K23" t="str" cm="1">
        <f t="array" aca="1" ref="K23" ca="1">+_xlfn.SWITCH(I23,"Norte",LOOKUP(J23,$K$2:$K$3,$I$2:$I$3),"Centro",LOOKUP(J23,$K$6:$K$7,$I$6:$I$7),LOOKUP(J23,$K$10:$K$11,$I$10:$I$11))</f>
        <v>SI</v>
      </c>
      <c r="L23" s="4">
        <f t="shared" ca="1" si="14"/>
        <v>0.31898075542955417</v>
      </c>
      <c r="M23" t="str">
        <f t="shared" ca="1" si="15"/>
        <v>Norte</v>
      </c>
      <c r="N23" s="4">
        <f t="shared" ca="1" si="16"/>
        <v>0.36860565284098068</v>
      </c>
      <c r="O23">
        <f t="shared" ca="1" si="17"/>
        <v>40</v>
      </c>
      <c r="P23" cm="1">
        <f t="array" aca="1" ref="P23" ca="1">G23+_xlfn.SWITCH(M23,"Este", 1, "Oeste",-1, 0)*O23</f>
        <v>0</v>
      </c>
      <c r="Q23" cm="1">
        <f t="array" aca="1" ref="Q23" ca="1">H23+_xlfn.SWITCH(M23,"Norte", 1, "Sur",-1, 0)*O23</f>
        <v>20</v>
      </c>
      <c r="R23" t="str">
        <f t="shared" ca="1" si="18"/>
        <v>Norte</v>
      </c>
      <c r="S23" s="4">
        <f t="shared" ca="1" si="19"/>
        <v>0.30559666755402182</v>
      </c>
      <c r="T23" t="str" cm="1">
        <f t="array" aca="1" ref="T23" ca="1">+_xlfn.SWITCH(R23,"Norte",LOOKUP(S23,$K$2:$K$3,$I$2:$I$3),"Centro",LOOKUP(S23,$K$6:$K$7,$I$6:$I$7),LOOKUP(S23,$K$10:$K$11,$I$10:$I$11))</f>
        <v>SI</v>
      </c>
      <c r="U23" s="4">
        <f t="shared" ca="1" si="20"/>
        <v>0.31270874946781135</v>
      </c>
      <c r="V23" t="str">
        <f t="shared" ca="1" si="21"/>
        <v>Norte</v>
      </c>
      <c r="W23" s="4">
        <f t="shared" ca="1" si="22"/>
        <v>0.65953319055891768</v>
      </c>
      <c r="X23">
        <f t="shared" ca="1" si="23"/>
        <v>40</v>
      </c>
      <c r="Y23" cm="1">
        <f t="array" aca="1" ref="Y23" ca="1">P23+_xlfn.SWITCH(V23,"Este", 1, "Oeste",-1, 0)*X23</f>
        <v>0</v>
      </c>
      <c r="Z23" cm="1">
        <f t="array" aca="1" ref="Z23" ca="1">Q23+_xlfn.SWITCH(V23,"Norte", 1, "Sur",-1, 0)*X23</f>
        <v>60</v>
      </c>
      <c r="AA23" t="str">
        <f t="shared" ca="1" si="24"/>
        <v>Norte</v>
      </c>
      <c r="AB23" s="4">
        <f t="shared" ca="1" si="25"/>
        <v>0.57832590628438063</v>
      </c>
      <c r="AC23" t="str" cm="1">
        <f t="array" aca="1" ref="AC23" ca="1">+_xlfn.SWITCH(AA23,"Norte",LOOKUP(AB23,$K$2:$K$3,$I$2:$I$3),"Centro",LOOKUP(AB23,$K$6:$K$7,$I$6:$I$7),LOOKUP(AB23,$K$10:$K$11,$I$10:$I$11))</f>
        <v>SI</v>
      </c>
      <c r="AD23">
        <f t="shared" ca="1" si="26"/>
        <v>3</v>
      </c>
      <c r="AE23">
        <f t="shared" ca="1" si="27"/>
        <v>8</v>
      </c>
    </row>
    <row r="24" spans="2:31" x14ac:dyDescent="0.25">
      <c r="B24">
        <f t="shared" si="7"/>
        <v>10</v>
      </c>
      <c r="C24" s="4">
        <f t="shared" ca="1" si="8"/>
        <v>0.98172810177032377</v>
      </c>
      <c r="D24" t="str">
        <f t="shared" ca="1" si="9"/>
        <v>Oeste</v>
      </c>
      <c r="E24" s="4">
        <f t="shared" ca="1" si="10"/>
        <v>0.87088557485894313</v>
      </c>
      <c r="F24">
        <f t="shared" ca="1" si="11"/>
        <v>50</v>
      </c>
      <c r="G24" cm="1">
        <f t="array" aca="1" ref="G24" ca="1">+_xlfn.SWITCH(D24,"Este", 1, "Oeste",-1, 0)*F24</f>
        <v>-50</v>
      </c>
      <c r="H24" cm="1">
        <f t="array" aca="1" ref="H24" ca="1">+_xlfn.SWITCH(D24,"Norte", 1, "Sur",-1, 0)*F24</f>
        <v>0</v>
      </c>
      <c r="I24" t="str">
        <f t="shared" ca="1" si="12"/>
        <v>Centro</v>
      </c>
      <c r="J24" s="4">
        <f t="shared" ca="1" si="13"/>
        <v>0.98644529446310913</v>
      </c>
      <c r="K24" t="str" cm="1">
        <f t="array" aca="1" ref="K24" ca="1">+_xlfn.SWITCH(I24,"Norte",LOOKUP(J24,$K$2:$K$3,$I$2:$I$3),"Centro",LOOKUP(J24,$K$6:$K$7,$I$6:$I$7),LOOKUP(J24,$K$10:$K$11,$I$10:$I$11))</f>
        <v>NO</v>
      </c>
      <c r="L24" s="4">
        <f t="shared" ca="1" si="14"/>
        <v>0.7534717883329487</v>
      </c>
      <c r="M24" t="str">
        <f t="shared" ca="1" si="15"/>
        <v>Este</v>
      </c>
      <c r="N24" s="4">
        <f t="shared" ca="1" si="16"/>
        <v>0.94853428019976616</v>
      </c>
      <c r="O24">
        <f t="shared" ca="1" si="17"/>
        <v>50</v>
      </c>
      <c r="P24" cm="1">
        <f t="array" aca="1" ref="P24" ca="1">G24+_xlfn.SWITCH(M24,"Este", 1, "Oeste",-1, 0)*O24</f>
        <v>0</v>
      </c>
      <c r="Q24" cm="1">
        <f t="array" aca="1" ref="Q24" ca="1">H24+_xlfn.SWITCH(M24,"Norte", 1, "Sur",-1, 0)*O24</f>
        <v>0</v>
      </c>
      <c r="R24" t="str">
        <f t="shared" ca="1" si="18"/>
        <v>Centro</v>
      </c>
      <c r="S24" s="4">
        <f t="shared" ca="1" si="19"/>
        <v>0.10966771911898676</v>
      </c>
      <c r="T24" t="str" cm="1">
        <f t="array" aca="1" ref="T24" ca="1">+_xlfn.SWITCH(R24,"Norte",LOOKUP(S24,$K$2:$K$3,$I$2:$I$3),"Centro",LOOKUP(S24,$K$6:$K$7,$I$6:$I$7),LOOKUP(S24,$K$10:$K$11,$I$10:$I$11))</f>
        <v>SI</v>
      </c>
      <c r="U24" s="4">
        <f t="shared" ca="1" si="20"/>
        <v>0.86570482911212698</v>
      </c>
      <c r="V24" t="str">
        <f t="shared" ca="1" si="21"/>
        <v>Oeste</v>
      </c>
      <c r="W24" s="4">
        <f t="shared" ca="1" si="22"/>
        <v>5.838753546921549E-2</v>
      </c>
      <c r="X24">
        <f t="shared" ca="1" si="23"/>
        <v>20</v>
      </c>
      <c r="Y24" cm="1">
        <f t="array" aca="1" ref="Y24" ca="1">P24+_xlfn.SWITCH(V24,"Este", 1, "Oeste",-1, 0)*X24</f>
        <v>-20</v>
      </c>
      <c r="Z24" cm="1">
        <f t="array" aca="1" ref="Z24" ca="1">Q24+_xlfn.SWITCH(V24,"Norte", 1, "Sur",-1, 0)*X24</f>
        <v>0</v>
      </c>
      <c r="AA24" t="str">
        <f t="shared" ca="1" si="24"/>
        <v>Centro</v>
      </c>
      <c r="AB24" s="4">
        <f t="shared" ca="1" si="25"/>
        <v>0.27215407343281772</v>
      </c>
      <c r="AC24" t="str" cm="1">
        <f t="array" aca="1" ref="AC24" ca="1">+_xlfn.SWITCH(AA24,"Norte",LOOKUP(AB24,$K$2:$K$3,$I$2:$I$3),"Centro",LOOKUP(AB24,$K$6:$K$7,$I$6:$I$7),LOOKUP(AB24,$K$10:$K$11,$I$10:$I$11))</f>
        <v>SI</v>
      </c>
      <c r="AD24">
        <f t="shared" ca="1" si="26"/>
        <v>2</v>
      </c>
      <c r="AE24">
        <f t="shared" ca="1" si="27"/>
        <v>9</v>
      </c>
    </row>
    <row r="25" spans="2:31" x14ac:dyDescent="0.25">
      <c r="B25">
        <f t="shared" si="7"/>
        <v>11</v>
      </c>
      <c r="C25" s="4">
        <f t="shared" ca="1" si="8"/>
        <v>0.42557587923817697</v>
      </c>
      <c r="D25" t="str">
        <f t="shared" ca="1" si="9"/>
        <v>Sur</v>
      </c>
      <c r="E25" s="4">
        <f t="shared" ca="1" si="10"/>
        <v>0.78173582159922272</v>
      </c>
      <c r="F25">
        <f t="shared" ca="1" si="11"/>
        <v>40</v>
      </c>
      <c r="G25" cm="1">
        <f t="array" aca="1" ref="G25" ca="1">+_xlfn.SWITCH(D25,"Este", 1, "Oeste",-1, 0)*F25</f>
        <v>0</v>
      </c>
      <c r="H25" cm="1">
        <f t="array" aca="1" ref="H25" ca="1">+_xlfn.SWITCH(D25,"Norte", 1, "Sur",-1, 0)*F25</f>
        <v>-40</v>
      </c>
      <c r="I25" t="str">
        <f t="shared" ca="1" si="12"/>
        <v>Sur</v>
      </c>
      <c r="J25" s="4">
        <f t="shared" ca="1" si="13"/>
        <v>0.69798995107782358</v>
      </c>
      <c r="K25" t="str" cm="1">
        <f t="array" aca="1" ref="K25" ca="1">+_xlfn.SWITCH(I25,"Norte",LOOKUP(J25,$K$2:$K$3,$I$2:$I$3),"Centro",LOOKUP(J25,$K$6:$K$7,$I$6:$I$7),LOOKUP(J25,$K$10:$K$11,$I$10:$I$11))</f>
        <v>NO</v>
      </c>
      <c r="L25" s="4">
        <f t="shared" ca="1" si="14"/>
        <v>0.47704837271839773</v>
      </c>
      <c r="M25" t="str">
        <f t="shared" ca="1" si="15"/>
        <v>Sur</v>
      </c>
      <c r="N25" s="4">
        <f t="shared" ca="1" si="16"/>
        <v>0.48957883833884897</v>
      </c>
      <c r="O25">
        <f t="shared" ca="1" si="17"/>
        <v>40</v>
      </c>
      <c r="P25" cm="1">
        <f t="array" aca="1" ref="P25" ca="1">G25+_xlfn.SWITCH(M25,"Este", 1, "Oeste",-1, 0)*O25</f>
        <v>0</v>
      </c>
      <c r="Q25" cm="1">
        <f t="array" aca="1" ref="Q25" ca="1">H25+_xlfn.SWITCH(M25,"Norte", 1, "Sur",-1, 0)*O25</f>
        <v>-80</v>
      </c>
      <c r="R25" t="str">
        <f t="shared" ca="1" si="18"/>
        <v>Sur</v>
      </c>
      <c r="S25" s="4">
        <f t="shared" ca="1" si="19"/>
        <v>0.2801419570667476</v>
      </c>
      <c r="T25" t="str" cm="1">
        <f t="array" aca="1" ref="T25" ca="1">+_xlfn.SWITCH(R25,"Norte",LOOKUP(S25,$K$2:$K$3,$I$2:$I$3),"Centro",LOOKUP(S25,$K$6:$K$7,$I$6:$I$7),LOOKUP(S25,$K$10:$K$11,$I$10:$I$11))</f>
        <v>SI</v>
      </c>
      <c r="U25" s="4">
        <f t="shared" ca="1" si="20"/>
        <v>0.26847681009017332</v>
      </c>
      <c r="V25" t="str">
        <f t="shared" ca="1" si="21"/>
        <v>Norte</v>
      </c>
      <c r="W25" s="4">
        <f t="shared" ca="1" si="22"/>
        <v>0.28579242691094153</v>
      </c>
      <c r="X25">
        <f t="shared" ca="1" si="23"/>
        <v>20</v>
      </c>
      <c r="Y25" cm="1">
        <f t="array" aca="1" ref="Y25" ca="1">P25+_xlfn.SWITCH(V25,"Este", 1, "Oeste",-1, 0)*X25</f>
        <v>0</v>
      </c>
      <c r="Z25" cm="1">
        <f t="array" aca="1" ref="Z25" ca="1">Q25+_xlfn.SWITCH(V25,"Norte", 1, "Sur",-1, 0)*X25</f>
        <v>-60</v>
      </c>
      <c r="AA25" t="str">
        <f t="shared" ca="1" si="24"/>
        <v>Sur</v>
      </c>
      <c r="AB25" s="4">
        <f t="shared" ca="1" si="25"/>
        <v>0.80642627725823457</v>
      </c>
      <c r="AC25" t="str" cm="1">
        <f t="array" aca="1" ref="AC25" ca="1">+_xlfn.SWITCH(AA25,"Norte",LOOKUP(AB25,$K$2:$K$3,$I$2:$I$3),"Centro",LOOKUP(AB25,$K$6:$K$7,$I$6:$I$7),LOOKUP(AB25,$K$10:$K$11,$I$10:$I$11))</f>
        <v>NO</v>
      </c>
      <c r="AD25">
        <f t="shared" ca="1" si="26"/>
        <v>1</v>
      </c>
      <c r="AE25">
        <f t="shared" ca="1" si="27"/>
        <v>9</v>
      </c>
    </row>
    <row r="26" spans="2:31" x14ac:dyDescent="0.25">
      <c r="B26">
        <f t="shared" si="7"/>
        <v>12</v>
      </c>
      <c r="C26" s="4">
        <f t="shared" ca="1" si="8"/>
        <v>0.8972197270053871</v>
      </c>
      <c r="D26" t="str">
        <f t="shared" ca="1" si="9"/>
        <v>Oeste</v>
      </c>
      <c r="E26" s="4">
        <f t="shared" ca="1" si="10"/>
        <v>0.14578095105252498</v>
      </c>
      <c r="F26">
        <f t="shared" ca="1" si="11"/>
        <v>20</v>
      </c>
      <c r="G26" cm="1">
        <f t="array" aca="1" ref="G26" ca="1">+_xlfn.SWITCH(D26,"Este", 1, "Oeste",-1, 0)*F26</f>
        <v>-20</v>
      </c>
      <c r="H26" cm="1">
        <f t="array" aca="1" ref="H26" ca="1">+_xlfn.SWITCH(D26,"Norte", 1, "Sur",-1, 0)*F26</f>
        <v>0</v>
      </c>
      <c r="I26" t="str">
        <f t="shared" ca="1" si="12"/>
        <v>Centro</v>
      </c>
      <c r="J26" s="4">
        <f t="shared" ca="1" si="13"/>
        <v>0.91278774001030061</v>
      </c>
      <c r="K26" t="str" cm="1">
        <f t="array" aca="1" ref="K26" ca="1">+_xlfn.SWITCH(I26,"Norte",LOOKUP(J26,$K$2:$K$3,$I$2:$I$3),"Centro",LOOKUP(J26,$K$6:$K$7,$I$6:$I$7),LOOKUP(J26,$K$10:$K$11,$I$10:$I$11))</f>
        <v>NO</v>
      </c>
      <c r="L26" s="4">
        <f t="shared" ca="1" si="14"/>
        <v>0.76006701807420696</v>
      </c>
      <c r="M26" t="str">
        <f t="shared" ca="1" si="15"/>
        <v>Este</v>
      </c>
      <c r="N26" s="4">
        <f t="shared" ca="1" si="16"/>
        <v>0.47439977525752575</v>
      </c>
      <c r="O26">
        <f t="shared" ca="1" si="17"/>
        <v>40</v>
      </c>
      <c r="P26" cm="1">
        <f t="array" aca="1" ref="P26" ca="1">G26+_xlfn.SWITCH(M26,"Este", 1, "Oeste",-1, 0)*O26</f>
        <v>20</v>
      </c>
      <c r="Q26" cm="1">
        <f t="array" aca="1" ref="Q26" ca="1">H26+_xlfn.SWITCH(M26,"Norte", 1, "Sur",-1, 0)*O26</f>
        <v>0</v>
      </c>
      <c r="R26" t="str">
        <f t="shared" ca="1" si="18"/>
        <v>Centro</v>
      </c>
      <c r="S26" s="4">
        <f t="shared" ca="1" si="19"/>
        <v>0.58492915388625433</v>
      </c>
      <c r="T26" t="str" cm="1">
        <f t="array" aca="1" ref="T26" ca="1">+_xlfn.SWITCH(R26,"Norte",LOOKUP(S26,$K$2:$K$3,$I$2:$I$3),"Centro",LOOKUP(S26,$K$6:$K$7,$I$6:$I$7),LOOKUP(S26,$K$10:$K$11,$I$10:$I$11))</f>
        <v>SI</v>
      </c>
      <c r="U26" s="4">
        <f t="shared" ca="1" si="20"/>
        <v>0.72561873644362351</v>
      </c>
      <c r="V26" t="str">
        <f t="shared" ca="1" si="21"/>
        <v>Este</v>
      </c>
      <c r="W26" s="4">
        <f t="shared" ca="1" si="22"/>
        <v>0.48925254407837027</v>
      </c>
      <c r="X26">
        <f t="shared" ca="1" si="23"/>
        <v>40</v>
      </c>
      <c r="Y26" cm="1">
        <f t="array" aca="1" ref="Y26" ca="1">P26+_xlfn.SWITCH(V26,"Este", 1, "Oeste",-1, 0)*X26</f>
        <v>60</v>
      </c>
      <c r="Z26" cm="1">
        <f t="array" aca="1" ref="Z26" ca="1">Q26+_xlfn.SWITCH(V26,"Norte", 1, "Sur",-1, 0)*X26</f>
        <v>0</v>
      </c>
      <c r="AA26" t="str">
        <f t="shared" ca="1" si="24"/>
        <v>Centro</v>
      </c>
      <c r="AB26" s="4">
        <f t="shared" ca="1" si="25"/>
        <v>0.92008365388210844</v>
      </c>
      <c r="AC26" t="str" cm="1">
        <f t="array" aca="1" ref="AC26" ca="1">+_xlfn.SWITCH(AA26,"Norte",LOOKUP(AB26,$K$2:$K$3,$I$2:$I$3),"Centro",LOOKUP(AB26,$K$6:$K$7,$I$6:$I$7),LOOKUP(AB26,$K$10:$K$11,$I$10:$I$11))</f>
        <v>NO</v>
      </c>
      <c r="AD26">
        <f t="shared" ca="1" si="26"/>
        <v>1</v>
      </c>
      <c r="AE26">
        <f t="shared" ca="1" si="27"/>
        <v>9</v>
      </c>
    </row>
    <row r="27" spans="2:31" x14ac:dyDescent="0.25">
      <c r="B27">
        <f t="shared" si="7"/>
        <v>13</v>
      </c>
      <c r="C27" s="4">
        <f t="shared" ca="1" si="8"/>
        <v>0.60756669840992594</v>
      </c>
      <c r="D27" t="str">
        <f t="shared" ca="1" si="9"/>
        <v>Sur</v>
      </c>
      <c r="E27" s="4">
        <f t="shared" ca="1" si="10"/>
        <v>0.6182342433633119</v>
      </c>
      <c r="F27">
        <f t="shared" ca="1" si="11"/>
        <v>40</v>
      </c>
      <c r="G27" cm="1">
        <f t="array" aca="1" ref="G27" ca="1">+_xlfn.SWITCH(D27,"Este", 1, "Oeste",-1, 0)*F27</f>
        <v>0</v>
      </c>
      <c r="H27" cm="1">
        <f t="array" aca="1" ref="H27" ca="1">+_xlfn.SWITCH(D27,"Norte", 1, "Sur",-1, 0)*F27</f>
        <v>-40</v>
      </c>
      <c r="I27" t="str">
        <f t="shared" ca="1" si="12"/>
        <v>Sur</v>
      </c>
      <c r="J27" s="4">
        <f t="shared" ca="1" si="13"/>
        <v>0.37800054149090123</v>
      </c>
      <c r="K27" t="str" cm="1">
        <f t="array" aca="1" ref="K27" ca="1">+_xlfn.SWITCH(I27,"Norte",LOOKUP(J27,$K$2:$K$3,$I$2:$I$3),"Centro",LOOKUP(J27,$K$6:$K$7,$I$6:$I$7),LOOKUP(J27,$K$10:$K$11,$I$10:$I$11))</f>
        <v>SI</v>
      </c>
      <c r="L27" s="4">
        <f t="shared" ca="1" si="14"/>
        <v>0.20116516885627167</v>
      </c>
      <c r="M27" t="str">
        <f t="shared" ca="1" si="15"/>
        <v>Norte</v>
      </c>
      <c r="N27" s="4">
        <f t="shared" ca="1" si="16"/>
        <v>0.76488061004208041</v>
      </c>
      <c r="O27">
        <f t="shared" ca="1" si="17"/>
        <v>40</v>
      </c>
      <c r="P27" cm="1">
        <f t="array" aca="1" ref="P27" ca="1">G27+_xlfn.SWITCH(M27,"Este", 1, "Oeste",-1, 0)*O27</f>
        <v>0</v>
      </c>
      <c r="Q27" cm="1">
        <f t="array" aca="1" ref="Q27" ca="1">H27+_xlfn.SWITCH(M27,"Norte", 1, "Sur",-1, 0)*O27</f>
        <v>0</v>
      </c>
      <c r="R27" t="str">
        <f t="shared" ca="1" si="18"/>
        <v>Centro</v>
      </c>
      <c r="S27" s="4">
        <f t="shared" ca="1" si="19"/>
        <v>0.176585480044676</v>
      </c>
      <c r="T27" t="str" cm="1">
        <f t="array" aca="1" ref="T27" ca="1">+_xlfn.SWITCH(R27,"Norte",LOOKUP(S27,$K$2:$K$3,$I$2:$I$3),"Centro",LOOKUP(S27,$K$6:$K$7,$I$6:$I$7),LOOKUP(S27,$K$10:$K$11,$I$10:$I$11))</f>
        <v>SI</v>
      </c>
      <c r="U27" s="4">
        <f t="shared" ca="1" si="20"/>
        <v>0.74554003512160649</v>
      </c>
      <c r="V27" t="str">
        <f t="shared" ca="1" si="21"/>
        <v>Este</v>
      </c>
      <c r="W27" s="4">
        <f t="shared" ca="1" si="22"/>
        <v>0.13824548572206075</v>
      </c>
      <c r="X27">
        <f t="shared" ca="1" si="23"/>
        <v>20</v>
      </c>
      <c r="Y27" cm="1">
        <f t="array" aca="1" ref="Y27" ca="1">P27+_xlfn.SWITCH(V27,"Este", 1, "Oeste",-1, 0)*X27</f>
        <v>20</v>
      </c>
      <c r="Z27" cm="1">
        <f t="array" aca="1" ref="Z27" ca="1">Q27+_xlfn.SWITCH(V27,"Norte", 1, "Sur",-1, 0)*X27</f>
        <v>0</v>
      </c>
      <c r="AA27" t="str">
        <f t="shared" ca="1" si="24"/>
        <v>Centro</v>
      </c>
      <c r="AB27" s="4">
        <f t="shared" ca="1" si="25"/>
        <v>0.34789794651735184</v>
      </c>
      <c r="AC27" t="str" cm="1">
        <f t="array" aca="1" ref="AC27" ca="1">+_xlfn.SWITCH(AA27,"Norte",LOOKUP(AB27,$K$2:$K$3,$I$2:$I$3),"Centro",LOOKUP(AB27,$K$6:$K$7,$I$6:$I$7),LOOKUP(AB27,$K$10:$K$11,$I$10:$I$11))</f>
        <v>SI</v>
      </c>
      <c r="AD27">
        <f t="shared" ca="1" si="26"/>
        <v>3</v>
      </c>
      <c r="AE27">
        <f t="shared" ca="1" si="27"/>
        <v>10</v>
      </c>
    </row>
    <row r="28" spans="2:31" x14ac:dyDescent="0.25">
      <c r="B28">
        <f t="shared" si="7"/>
        <v>14</v>
      </c>
      <c r="C28" s="4">
        <f t="shared" ca="1" si="8"/>
        <v>0.21764075984432818</v>
      </c>
      <c r="D28" t="str">
        <f t="shared" ca="1" si="9"/>
        <v>Norte</v>
      </c>
      <c r="E28" s="4">
        <f t="shared" ca="1" si="10"/>
        <v>0.86316871650708149</v>
      </c>
      <c r="F28">
        <f t="shared" ca="1" si="11"/>
        <v>50</v>
      </c>
      <c r="G28" cm="1">
        <f t="array" aca="1" ref="G28" ca="1">+_xlfn.SWITCH(D28,"Este", 1, "Oeste",-1, 0)*F28</f>
        <v>0</v>
      </c>
      <c r="H28" cm="1">
        <f t="array" aca="1" ref="H28" ca="1">+_xlfn.SWITCH(D28,"Norte", 1, "Sur",-1, 0)*F28</f>
        <v>50</v>
      </c>
      <c r="I28" t="str">
        <f t="shared" ca="1" si="12"/>
        <v>Norte</v>
      </c>
      <c r="J28" s="4">
        <f t="shared" ca="1" si="13"/>
        <v>8.3067503414976263E-2</v>
      </c>
      <c r="K28" t="str" cm="1">
        <f t="array" aca="1" ref="K28" ca="1">+_xlfn.SWITCH(I28,"Norte",LOOKUP(J28,$K$2:$K$3,$I$2:$I$3),"Centro",LOOKUP(J28,$K$6:$K$7,$I$6:$I$7),LOOKUP(J28,$K$10:$K$11,$I$10:$I$11))</f>
        <v>SI</v>
      </c>
      <c r="L28" s="4">
        <f t="shared" ca="1" si="14"/>
        <v>0.15871821678173581</v>
      </c>
      <c r="M28" t="str">
        <f t="shared" ca="1" si="15"/>
        <v>Norte</v>
      </c>
      <c r="N28" s="4">
        <f t="shared" ca="1" si="16"/>
        <v>0.30663902819369326</v>
      </c>
      <c r="O28">
        <f t="shared" ca="1" si="17"/>
        <v>40</v>
      </c>
      <c r="P28" cm="1">
        <f t="array" aca="1" ref="P28" ca="1">G28+_xlfn.SWITCH(M28,"Este", 1, "Oeste",-1, 0)*O28</f>
        <v>0</v>
      </c>
      <c r="Q28" cm="1">
        <f t="array" aca="1" ref="Q28" ca="1">H28+_xlfn.SWITCH(M28,"Norte", 1, "Sur",-1, 0)*O28</f>
        <v>90</v>
      </c>
      <c r="R28" t="str">
        <f t="shared" ca="1" si="18"/>
        <v>Norte</v>
      </c>
      <c r="S28" s="4">
        <f t="shared" ca="1" si="19"/>
        <v>0.74571915391868226</v>
      </c>
      <c r="T28" t="str" cm="1">
        <f t="array" aca="1" ref="T28" ca="1">+_xlfn.SWITCH(R28,"Norte",LOOKUP(S28,$K$2:$K$3,$I$2:$I$3),"Centro",LOOKUP(S28,$K$6:$K$7,$I$6:$I$7),LOOKUP(S28,$K$10:$K$11,$I$10:$I$11))</f>
        <v>NO</v>
      </c>
      <c r="U28" s="4">
        <f t="shared" ca="1" si="20"/>
        <v>0.60434338009507116</v>
      </c>
      <c r="V28" t="str">
        <f t="shared" ca="1" si="21"/>
        <v>Sur</v>
      </c>
      <c r="W28" s="4">
        <f t="shared" ca="1" si="22"/>
        <v>2.7775547107239396E-2</v>
      </c>
      <c r="X28">
        <f t="shared" ca="1" si="23"/>
        <v>20</v>
      </c>
      <c r="Y28" cm="1">
        <f t="array" aca="1" ref="Y28" ca="1">P28+_xlfn.SWITCH(V28,"Este", 1, "Oeste",-1, 0)*X28</f>
        <v>0</v>
      </c>
      <c r="Z28" cm="1">
        <f t="array" aca="1" ref="Z28" ca="1">Q28+_xlfn.SWITCH(V28,"Norte", 1, "Sur",-1, 0)*X28</f>
        <v>70</v>
      </c>
      <c r="AA28" t="str">
        <f t="shared" ca="1" si="24"/>
        <v>Norte</v>
      </c>
      <c r="AB28" s="4">
        <f t="shared" ca="1" si="25"/>
        <v>7.6392997107649019E-2</v>
      </c>
      <c r="AC28" t="str" cm="1">
        <f t="array" aca="1" ref="AC28" ca="1">+_xlfn.SWITCH(AA28,"Norte",LOOKUP(AB28,$K$2:$K$3,$I$2:$I$3),"Centro",LOOKUP(AB28,$K$6:$K$7,$I$6:$I$7),LOOKUP(AB28,$K$10:$K$11,$I$10:$I$11))</f>
        <v>SI</v>
      </c>
      <c r="AD28">
        <f t="shared" ca="1" si="26"/>
        <v>2</v>
      </c>
      <c r="AE28">
        <f t="shared" ca="1" si="27"/>
        <v>11</v>
      </c>
    </row>
    <row r="29" spans="2:31" x14ac:dyDescent="0.25">
      <c r="B29">
        <f t="shared" si="7"/>
        <v>15</v>
      </c>
      <c r="C29" s="4">
        <f t="shared" ca="1" si="8"/>
        <v>5.8058687035208778E-2</v>
      </c>
      <c r="D29" t="str">
        <f t="shared" ca="1" si="9"/>
        <v>Norte</v>
      </c>
      <c r="E29" s="4">
        <f t="shared" ca="1" si="10"/>
        <v>0.42113310430906548</v>
      </c>
      <c r="F29">
        <f t="shared" ca="1" si="11"/>
        <v>40</v>
      </c>
      <c r="G29" cm="1">
        <f t="array" aca="1" ref="G29" ca="1">+_xlfn.SWITCH(D29,"Este", 1, "Oeste",-1, 0)*F29</f>
        <v>0</v>
      </c>
      <c r="H29" cm="1">
        <f t="array" aca="1" ref="H29" ca="1">+_xlfn.SWITCH(D29,"Norte", 1, "Sur",-1, 0)*F29</f>
        <v>40</v>
      </c>
      <c r="I29" t="str">
        <f t="shared" ca="1" si="12"/>
        <v>Norte</v>
      </c>
      <c r="J29" s="4">
        <f t="shared" ca="1" si="13"/>
        <v>0.71125398649835514</v>
      </c>
      <c r="K29" t="str" cm="1">
        <f t="array" aca="1" ref="K29" ca="1">+_xlfn.SWITCH(I29,"Norte",LOOKUP(J29,$K$2:$K$3,$I$2:$I$3),"Centro",LOOKUP(J29,$K$6:$K$7,$I$6:$I$7),LOOKUP(J29,$K$10:$K$11,$I$10:$I$11))</f>
        <v>NO</v>
      </c>
      <c r="L29" s="4">
        <f t="shared" ca="1" si="14"/>
        <v>0.32998897921630244</v>
      </c>
      <c r="M29" t="str">
        <f t="shared" ca="1" si="15"/>
        <v>Norte</v>
      </c>
      <c r="N29" s="4">
        <f t="shared" ca="1" si="16"/>
        <v>0.44141281717731018</v>
      </c>
      <c r="O29">
        <f t="shared" ca="1" si="17"/>
        <v>40</v>
      </c>
      <c r="P29" cm="1">
        <f t="array" aca="1" ref="P29" ca="1">G29+_xlfn.SWITCH(M29,"Este", 1, "Oeste",-1, 0)*O29</f>
        <v>0</v>
      </c>
      <c r="Q29" cm="1">
        <f t="array" aca="1" ref="Q29" ca="1">H29+_xlfn.SWITCH(M29,"Norte", 1, "Sur",-1, 0)*O29</f>
        <v>80</v>
      </c>
      <c r="R29" t="str">
        <f t="shared" ca="1" si="18"/>
        <v>Norte</v>
      </c>
      <c r="S29" s="4">
        <f t="shared" ca="1" si="19"/>
        <v>0.78342440532377744</v>
      </c>
      <c r="T29" t="str" cm="1">
        <f t="array" aca="1" ref="T29" ca="1">+_xlfn.SWITCH(R29,"Norte",LOOKUP(S29,$K$2:$K$3,$I$2:$I$3),"Centro",LOOKUP(S29,$K$6:$K$7,$I$6:$I$7),LOOKUP(S29,$K$10:$K$11,$I$10:$I$11))</f>
        <v>NO</v>
      </c>
      <c r="U29" s="4">
        <f t="shared" ca="1" si="20"/>
        <v>0.2086352197297171</v>
      </c>
      <c r="V29" t="str">
        <f t="shared" ca="1" si="21"/>
        <v>Norte</v>
      </c>
      <c r="W29" s="4">
        <f t="shared" ca="1" si="22"/>
        <v>0.77937160259139115</v>
      </c>
      <c r="X29">
        <f t="shared" ca="1" si="23"/>
        <v>40</v>
      </c>
      <c r="Y29" cm="1">
        <f t="array" aca="1" ref="Y29" ca="1">P29+_xlfn.SWITCH(V29,"Este", 1, "Oeste",-1, 0)*X29</f>
        <v>0</v>
      </c>
      <c r="Z29" cm="1">
        <f t="array" aca="1" ref="Z29" ca="1">Q29+_xlfn.SWITCH(V29,"Norte", 1, "Sur",-1, 0)*X29</f>
        <v>120</v>
      </c>
      <c r="AA29" t="str">
        <f t="shared" ca="1" si="24"/>
        <v>Norte</v>
      </c>
      <c r="AB29" s="4">
        <f t="shared" ca="1" si="25"/>
        <v>5.0119871614865974E-2</v>
      </c>
      <c r="AC29" t="str" cm="1">
        <f t="array" aca="1" ref="AC29" ca="1">+_xlfn.SWITCH(AA29,"Norte",LOOKUP(AB29,$K$2:$K$3,$I$2:$I$3),"Centro",LOOKUP(AB29,$K$6:$K$7,$I$6:$I$7),LOOKUP(AB29,$K$10:$K$11,$I$10:$I$11))</f>
        <v>SI</v>
      </c>
      <c r="AD29">
        <f t="shared" ca="1" si="26"/>
        <v>1</v>
      </c>
      <c r="AE29">
        <f t="shared" ca="1" si="27"/>
        <v>11</v>
      </c>
    </row>
    <row r="30" spans="2:31" x14ac:dyDescent="0.25">
      <c r="B30">
        <f t="shared" si="7"/>
        <v>16</v>
      </c>
      <c r="C30" s="4">
        <f t="shared" ca="1" si="8"/>
        <v>0.78273946982888654</v>
      </c>
      <c r="D30" t="str">
        <f t="shared" ca="1" si="9"/>
        <v>Este</v>
      </c>
      <c r="E30" s="4">
        <f t="shared" ca="1" si="10"/>
        <v>0.40818278414187759</v>
      </c>
      <c r="F30">
        <f t="shared" ca="1" si="11"/>
        <v>40</v>
      </c>
      <c r="G30" cm="1">
        <f t="array" aca="1" ref="G30" ca="1">+_xlfn.SWITCH(D30,"Este", 1, "Oeste",-1, 0)*F30</f>
        <v>40</v>
      </c>
      <c r="H30" cm="1">
        <f t="array" aca="1" ref="H30" ca="1">+_xlfn.SWITCH(D30,"Norte", 1, "Sur",-1, 0)*F30</f>
        <v>0</v>
      </c>
      <c r="I30" t="str">
        <f t="shared" ca="1" si="12"/>
        <v>Centro</v>
      </c>
      <c r="J30" s="4">
        <f t="shared" ca="1" si="13"/>
        <v>0.42299225927465123</v>
      </c>
      <c r="K30" t="str" cm="1">
        <f t="array" aca="1" ref="K30" ca="1">+_xlfn.SWITCH(I30,"Norte",LOOKUP(J30,$K$2:$K$3,$I$2:$I$3),"Centro",LOOKUP(J30,$K$6:$K$7,$I$6:$I$7),LOOKUP(J30,$K$10:$K$11,$I$10:$I$11))</f>
        <v>SI</v>
      </c>
      <c r="L30" s="4">
        <f t="shared" ca="1" si="14"/>
        <v>0.77838857145712059</v>
      </c>
      <c r="M30" t="str">
        <f t="shared" ca="1" si="15"/>
        <v>Este</v>
      </c>
      <c r="N30" s="4">
        <f t="shared" ca="1" si="16"/>
        <v>0.46512304253837233</v>
      </c>
      <c r="O30">
        <f t="shared" ca="1" si="17"/>
        <v>40</v>
      </c>
      <c r="P30" cm="1">
        <f t="array" aca="1" ref="P30" ca="1">G30+_xlfn.SWITCH(M30,"Este", 1, "Oeste",-1, 0)*O30</f>
        <v>80</v>
      </c>
      <c r="Q30" cm="1">
        <f t="array" aca="1" ref="Q30" ca="1">H30+_xlfn.SWITCH(M30,"Norte", 1, "Sur",-1, 0)*O30</f>
        <v>0</v>
      </c>
      <c r="R30" t="str">
        <f t="shared" ca="1" si="18"/>
        <v>Centro</v>
      </c>
      <c r="S30" s="4">
        <f t="shared" ca="1" si="19"/>
        <v>0.61406836642561546</v>
      </c>
      <c r="T30" t="str" cm="1">
        <f t="array" aca="1" ref="T30" ca="1">+_xlfn.SWITCH(R30,"Norte",LOOKUP(S30,$K$2:$K$3,$I$2:$I$3),"Centro",LOOKUP(S30,$K$6:$K$7,$I$6:$I$7),LOOKUP(S30,$K$10:$K$11,$I$10:$I$11))</f>
        <v>SI</v>
      </c>
      <c r="U30" s="4">
        <f t="shared" ca="1" si="20"/>
        <v>0.4721344679767796</v>
      </c>
      <c r="V30" t="str">
        <f t="shared" ca="1" si="21"/>
        <v>Sur</v>
      </c>
      <c r="W30" s="4">
        <f t="shared" ca="1" si="22"/>
        <v>0.75895734727899544</v>
      </c>
      <c r="X30">
        <f t="shared" ca="1" si="23"/>
        <v>40</v>
      </c>
      <c r="Y30" cm="1">
        <f t="array" aca="1" ref="Y30" ca="1">P30+_xlfn.SWITCH(V30,"Este", 1, "Oeste",-1, 0)*X30</f>
        <v>80</v>
      </c>
      <c r="Z30" cm="1">
        <f t="array" aca="1" ref="Z30" ca="1">Q30+_xlfn.SWITCH(V30,"Norte", 1, "Sur",-1, 0)*X30</f>
        <v>-40</v>
      </c>
      <c r="AA30" t="str">
        <f t="shared" ca="1" si="24"/>
        <v>Sur</v>
      </c>
      <c r="AB30" s="4">
        <f t="shared" ca="1" si="25"/>
        <v>0.66492598153952542</v>
      </c>
      <c r="AC30" t="str" cm="1">
        <f t="array" aca="1" ref="AC30" ca="1">+_xlfn.SWITCH(AA30,"Norte",LOOKUP(AB30,$K$2:$K$3,$I$2:$I$3),"Centro",LOOKUP(AB30,$K$6:$K$7,$I$6:$I$7),LOOKUP(AB30,$K$10:$K$11,$I$10:$I$11))</f>
        <v>NO</v>
      </c>
      <c r="AD30">
        <f t="shared" ca="1" si="26"/>
        <v>2</v>
      </c>
      <c r="AE30">
        <f t="shared" ca="1" si="27"/>
        <v>12</v>
      </c>
    </row>
    <row r="31" spans="2:31" x14ac:dyDescent="0.25">
      <c r="B31">
        <f t="shared" si="7"/>
        <v>17</v>
      </c>
      <c r="C31" s="4">
        <f t="shared" ca="1" si="8"/>
        <v>0.67902442672149277</v>
      </c>
      <c r="D31" t="str">
        <f t="shared" ca="1" si="9"/>
        <v>Este</v>
      </c>
      <c r="E31" s="4">
        <f t="shared" ca="1" si="10"/>
        <v>0.72969495694251718</v>
      </c>
      <c r="F31">
        <f t="shared" ca="1" si="11"/>
        <v>40</v>
      </c>
      <c r="G31" cm="1">
        <f t="array" aca="1" ref="G31" ca="1">+_xlfn.SWITCH(D31,"Este", 1, "Oeste",-1, 0)*F31</f>
        <v>40</v>
      </c>
      <c r="H31" cm="1">
        <f t="array" aca="1" ref="H31" ca="1">+_xlfn.SWITCH(D31,"Norte", 1, "Sur",-1, 0)*F31</f>
        <v>0</v>
      </c>
      <c r="I31" t="str">
        <f t="shared" ca="1" si="12"/>
        <v>Centro</v>
      </c>
      <c r="J31" s="4">
        <f t="shared" ca="1" si="13"/>
        <v>0.4126617382624207</v>
      </c>
      <c r="K31" t="str" cm="1">
        <f t="array" aca="1" ref="K31" ca="1">+_xlfn.SWITCH(I31,"Norte",LOOKUP(J31,$K$2:$K$3,$I$2:$I$3),"Centro",LOOKUP(J31,$K$6:$K$7,$I$6:$I$7),LOOKUP(J31,$K$10:$K$11,$I$10:$I$11))</f>
        <v>SI</v>
      </c>
      <c r="L31" s="4">
        <f t="shared" ca="1" si="14"/>
        <v>0.35130059862227092</v>
      </c>
      <c r="M31" t="str">
        <f t="shared" ca="1" si="15"/>
        <v>Sur</v>
      </c>
      <c r="N31" s="4">
        <f t="shared" ca="1" si="16"/>
        <v>0.6986751429443474</v>
      </c>
      <c r="O31">
        <f t="shared" ca="1" si="17"/>
        <v>40</v>
      </c>
      <c r="P31" cm="1">
        <f t="array" aca="1" ref="P31" ca="1">G31+_xlfn.SWITCH(M31,"Este", 1, "Oeste",-1, 0)*O31</f>
        <v>40</v>
      </c>
      <c r="Q31" cm="1">
        <f t="array" aca="1" ref="Q31" ca="1">H31+_xlfn.SWITCH(M31,"Norte", 1, "Sur",-1, 0)*O31</f>
        <v>-40</v>
      </c>
      <c r="R31" t="str">
        <f t="shared" ca="1" si="18"/>
        <v>Sur</v>
      </c>
      <c r="S31" s="4">
        <f t="shared" ca="1" si="19"/>
        <v>0.82388707673192463</v>
      </c>
      <c r="T31" t="str" cm="1">
        <f t="array" aca="1" ref="T31" ca="1">+_xlfn.SWITCH(R31,"Norte",LOOKUP(S31,$K$2:$K$3,$I$2:$I$3),"Centro",LOOKUP(S31,$K$6:$K$7,$I$6:$I$7),LOOKUP(S31,$K$10:$K$11,$I$10:$I$11))</f>
        <v>NO</v>
      </c>
      <c r="U31" s="4">
        <f t="shared" ca="1" si="20"/>
        <v>0.61016452048024494</v>
      </c>
      <c r="V31" t="str">
        <f t="shared" ca="1" si="21"/>
        <v>Sur</v>
      </c>
      <c r="W31" s="4">
        <f t="shared" ca="1" si="22"/>
        <v>0.33278639526383758</v>
      </c>
      <c r="X31">
        <f t="shared" ca="1" si="23"/>
        <v>40</v>
      </c>
      <c r="Y31" cm="1">
        <f t="array" aca="1" ref="Y31" ca="1">P31+_xlfn.SWITCH(V31,"Este", 1, "Oeste",-1, 0)*X31</f>
        <v>40</v>
      </c>
      <c r="Z31" cm="1">
        <f t="array" aca="1" ref="Z31" ca="1">Q31+_xlfn.SWITCH(V31,"Norte", 1, "Sur",-1, 0)*X31</f>
        <v>-80</v>
      </c>
      <c r="AA31" t="str">
        <f t="shared" ca="1" si="24"/>
        <v>Sur</v>
      </c>
      <c r="AB31" s="4">
        <f t="shared" ca="1" si="25"/>
        <v>0.51442993774523427</v>
      </c>
      <c r="AC31" t="str" cm="1">
        <f t="array" aca="1" ref="AC31" ca="1">+_xlfn.SWITCH(AA31,"Norte",LOOKUP(AB31,$K$2:$K$3,$I$2:$I$3),"Centro",LOOKUP(AB31,$K$6:$K$7,$I$6:$I$7),LOOKUP(AB31,$K$10:$K$11,$I$10:$I$11))</f>
        <v>NO</v>
      </c>
      <c r="AD31">
        <f t="shared" ca="1" si="26"/>
        <v>1</v>
      </c>
      <c r="AE31">
        <f t="shared" ca="1" si="27"/>
        <v>12</v>
      </c>
    </row>
    <row r="32" spans="2:31" x14ac:dyDescent="0.25">
      <c r="B32">
        <f t="shared" si="7"/>
        <v>18</v>
      </c>
      <c r="C32" s="4">
        <f t="shared" ca="1" si="8"/>
        <v>0.37302537183225415</v>
      </c>
      <c r="D32" t="str">
        <f t="shared" ca="1" si="9"/>
        <v>Sur</v>
      </c>
      <c r="E32" s="4">
        <f t="shared" ca="1" si="10"/>
        <v>5.5674233633007719E-2</v>
      </c>
      <c r="F32">
        <f t="shared" ca="1" si="11"/>
        <v>20</v>
      </c>
      <c r="G32" cm="1">
        <f t="array" aca="1" ref="G32" ca="1">+_xlfn.SWITCH(D32,"Este", 1, "Oeste",-1, 0)*F32</f>
        <v>0</v>
      </c>
      <c r="H32" cm="1">
        <f t="array" aca="1" ref="H32" ca="1">+_xlfn.SWITCH(D32,"Norte", 1, "Sur",-1, 0)*F32</f>
        <v>-20</v>
      </c>
      <c r="I32" t="str">
        <f t="shared" ca="1" si="12"/>
        <v>Sur</v>
      </c>
      <c r="J32" s="4">
        <f t="shared" ca="1" si="13"/>
        <v>0.54490204408873466</v>
      </c>
      <c r="K32" t="str" cm="1">
        <f t="array" aca="1" ref="K32" ca="1">+_xlfn.SWITCH(I32,"Norte",LOOKUP(J32,$K$2:$K$3,$I$2:$I$3),"Centro",LOOKUP(J32,$K$6:$K$7,$I$6:$I$7),LOOKUP(J32,$K$10:$K$11,$I$10:$I$11))</f>
        <v>NO</v>
      </c>
      <c r="L32" s="4">
        <f t="shared" ca="1" si="14"/>
        <v>0.7900800753657452</v>
      </c>
      <c r="M32" t="str">
        <f t="shared" ca="1" si="15"/>
        <v>Este</v>
      </c>
      <c r="N32" s="4">
        <f t="shared" ca="1" si="16"/>
        <v>0.44672448188362912</v>
      </c>
      <c r="O32">
        <f t="shared" ca="1" si="17"/>
        <v>40</v>
      </c>
      <c r="P32" cm="1">
        <f t="array" aca="1" ref="P32" ca="1">G32+_xlfn.SWITCH(M32,"Este", 1, "Oeste",-1, 0)*O32</f>
        <v>40</v>
      </c>
      <c r="Q32" cm="1">
        <f t="array" aca="1" ref="Q32" ca="1">H32+_xlfn.SWITCH(M32,"Norte", 1, "Sur",-1, 0)*O32</f>
        <v>-20</v>
      </c>
      <c r="R32" t="str">
        <f t="shared" ca="1" si="18"/>
        <v>Sur</v>
      </c>
      <c r="S32" s="4">
        <f t="shared" ca="1" si="19"/>
        <v>0.87112169607234546</v>
      </c>
      <c r="T32" t="str" cm="1">
        <f t="array" aca="1" ref="T32" ca="1">+_xlfn.SWITCH(R32,"Norte",LOOKUP(S32,$K$2:$K$3,$I$2:$I$3),"Centro",LOOKUP(S32,$K$6:$K$7,$I$6:$I$7),LOOKUP(S32,$K$10:$K$11,$I$10:$I$11))</f>
        <v>NO</v>
      </c>
      <c r="U32" s="4">
        <f t="shared" ca="1" si="20"/>
        <v>0.63401069980999436</v>
      </c>
      <c r="V32" t="str">
        <f t="shared" ca="1" si="21"/>
        <v>Sur</v>
      </c>
      <c r="W32" s="4">
        <f t="shared" ca="1" si="22"/>
        <v>0.21199329644155152</v>
      </c>
      <c r="X32">
        <f t="shared" ca="1" si="23"/>
        <v>20</v>
      </c>
      <c r="Y32" cm="1">
        <f t="array" aca="1" ref="Y32" ca="1">P32+_xlfn.SWITCH(V32,"Este", 1, "Oeste",-1, 0)*X32</f>
        <v>40</v>
      </c>
      <c r="Z32" cm="1">
        <f t="array" aca="1" ref="Z32" ca="1">Q32+_xlfn.SWITCH(V32,"Norte", 1, "Sur",-1, 0)*X32</f>
        <v>-40</v>
      </c>
      <c r="AA32" t="str">
        <f t="shared" ca="1" si="24"/>
        <v>Sur</v>
      </c>
      <c r="AB32" s="4">
        <f t="shared" ca="1" si="25"/>
        <v>0.58005486042259669</v>
      </c>
      <c r="AC32" t="str" cm="1">
        <f t="array" aca="1" ref="AC32" ca="1">+_xlfn.SWITCH(AA32,"Norte",LOOKUP(AB32,$K$2:$K$3,$I$2:$I$3),"Centro",LOOKUP(AB32,$K$6:$K$7,$I$6:$I$7),LOOKUP(AB32,$K$10:$K$11,$I$10:$I$11))</f>
        <v>NO</v>
      </c>
      <c r="AD32">
        <f t="shared" ca="1" si="26"/>
        <v>0</v>
      </c>
      <c r="AE32">
        <f t="shared" ca="1" si="27"/>
        <v>12</v>
      </c>
    </row>
    <row r="33" spans="2:31" x14ac:dyDescent="0.25">
      <c r="B33">
        <f t="shared" si="7"/>
        <v>19</v>
      </c>
      <c r="C33" s="4">
        <f t="shared" ca="1" si="8"/>
        <v>0.88379816181876569</v>
      </c>
      <c r="D33" t="str">
        <f t="shared" ca="1" si="9"/>
        <v>Oeste</v>
      </c>
      <c r="E33" s="4">
        <f t="shared" ca="1" si="10"/>
        <v>0.73375814665215444</v>
      </c>
      <c r="F33">
        <f t="shared" ca="1" si="11"/>
        <v>40</v>
      </c>
      <c r="G33" cm="1">
        <f t="array" aca="1" ref="G33" ca="1">+_xlfn.SWITCH(D33,"Este", 1, "Oeste",-1, 0)*F33</f>
        <v>-40</v>
      </c>
      <c r="H33" cm="1">
        <f t="array" aca="1" ref="H33" ca="1">+_xlfn.SWITCH(D33,"Norte", 1, "Sur",-1, 0)*F33</f>
        <v>0</v>
      </c>
      <c r="I33" t="str">
        <f t="shared" ca="1" si="12"/>
        <v>Centro</v>
      </c>
      <c r="J33" s="4">
        <f t="shared" ca="1" si="13"/>
        <v>0.69712566253151587</v>
      </c>
      <c r="K33" t="str" cm="1">
        <f t="array" aca="1" ref="K33" ca="1">+_xlfn.SWITCH(I33,"Norte",LOOKUP(J33,$K$2:$K$3,$I$2:$I$3),"Centro",LOOKUP(J33,$K$6:$K$7,$I$6:$I$7),LOOKUP(J33,$K$10:$K$11,$I$10:$I$11))</f>
        <v>SI</v>
      </c>
      <c r="L33" s="4">
        <f t="shared" ca="1" si="14"/>
        <v>0.49544785895384136</v>
      </c>
      <c r="M33" t="str">
        <f t="shared" ca="1" si="15"/>
        <v>Sur</v>
      </c>
      <c r="N33" s="4">
        <f t="shared" ca="1" si="16"/>
        <v>0.74237105291169658</v>
      </c>
      <c r="O33">
        <f t="shared" ca="1" si="17"/>
        <v>40</v>
      </c>
      <c r="P33" cm="1">
        <f t="array" aca="1" ref="P33" ca="1">G33+_xlfn.SWITCH(M33,"Este", 1, "Oeste",-1, 0)*O33</f>
        <v>-40</v>
      </c>
      <c r="Q33" cm="1">
        <f t="array" aca="1" ref="Q33" ca="1">H33+_xlfn.SWITCH(M33,"Norte", 1, "Sur",-1, 0)*O33</f>
        <v>-40</v>
      </c>
      <c r="R33" t="str">
        <f t="shared" ca="1" si="18"/>
        <v>Sur</v>
      </c>
      <c r="S33" s="4">
        <f t="shared" ca="1" si="19"/>
        <v>0.9536389831841674</v>
      </c>
      <c r="T33" t="str" cm="1">
        <f t="array" aca="1" ref="T33" ca="1">+_xlfn.SWITCH(R33,"Norte",LOOKUP(S33,$K$2:$K$3,$I$2:$I$3),"Centro",LOOKUP(S33,$K$6:$K$7,$I$6:$I$7),LOOKUP(S33,$K$10:$K$11,$I$10:$I$11))</f>
        <v>NO</v>
      </c>
      <c r="U33" s="4">
        <f t="shared" ca="1" si="20"/>
        <v>3.1667567399432106E-2</v>
      </c>
      <c r="V33" t="str">
        <f t="shared" ca="1" si="21"/>
        <v>Norte</v>
      </c>
      <c r="W33" s="4">
        <f t="shared" ca="1" si="22"/>
        <v>0.26925730808466408</v>
      </c>
      <c r="X33">
        <f t="shared" ca="1" si="23"/>
        <v>20</v>
      </c>
      <c r="Y33" cm="1">
        <f t="array" aca="1" ref="Y33" ca="1">P33+_xlfn.SWITCH(V33,"Este", 1, "Oeste",-1, 0)*X33</f>
        <v>-40</v>
      </c>
      <c r="Z33" cm="1">
        <f t="array" aca="1" ref="Z33" ca="1">Q33+_xlfn.SWITCH(V33,"Norte", 1, "Sur",-1, 0)*X33</f>
        <v>-20</v>
      </c>
      <c r="AA33" t="str">
        <f t="shared" ca="1" si="24"/>
        <v>Sur</v>
      </c>
      <c r="AB33" s="4">
        <f t="shared" ca="1" si="25"/>
        <v>0.77259798313568373</v>
      </c>
      <c r="AC33" t="str" cm="1">
        <f t="array" aca="1" ref="AC33" ca="1">+_xlfn.SWITCH(AA33,"Norte",LOOKUP(AB33,$K$2:$K$3,$I$2:$I$3),"Centro",LOOKUP(AB33,$K$6:$K$7,$I$6:$I$7),LOOKUP(AB33,$K$10:$K$11,$I$10:$I$11))</f>
        <v>NO</v>
      </c>
      <c r="AD33">
        <f t="shared" ca="1" si="26"/>
        <v>1</v>
      </c>
      <c r="AE33">
        <f t="shared" ca="1" si="27"/>
        <v>12</v>
      </c>
    </row>
    <row r="34" spans="2:31" x14ac:dyDescent="0.25">
      <c r="B34">
        <f t="shared" si="7"/>
        <v>20</v>
      </c>
      <c r="C34" s="4">
        <f t="shared" ca="1" si="8"/>
        <v>0.259582663425864</v>
      </c>
      <c r="D34" t="str">
        <f t="shared" ca="1" si="9"/>
        <v>Norte</v>
      </c>
      <c r="E34" s="4">
        <f t="shared" ca="1" si="10"/>
        <v>5.3187967407168801E-2</v>
      </c>
      <c r="F34">
        <f t="shared" ca="1" si="11"/>
        <v>20</v>
      </c>
      <c r="G34" cm="1">
        <f t="array" aca="1" ref="G34" ca="1">+_xlfn.SWITCH(D34,"Este", 1, "Oeste",-1, 0)*F34</f>
        <v>0</v>
      </c>
      <c r="H34" cm="1">
        <f t="array" aca="1" ref="H34" ca="1">+_xlfn.SWITCH(D34,"Norte", 1, "Sur",-1, 0)*F34</f>
        <v>20</v>
      </c>
      <c r="I34" t="str">
        <f t="shared" ca="1" si="12"/>
        <v>Norte</v>
      </c>
      <c r="J34" s="4">
        <f t="shared" ca="1" si="13"/>
        <v>0.97594455673109415</v>
      </c>
      <c r="K34" t="str" cm="1">
        <f t="array" aca="1" ref="K34" ca="1">+_xlfn.SWITCH(I34,"Norte",LOOKUP(J34,$K$2:$K$3,$I$2:$I$3),"Centro",LOOKUP(J34,$K$6:$K$7,$I$6:$I$7),LOOKUP(J34,$K$10:$K$11,$I$10:$I$11))</f>
        <v>NO</v>
      </c>
      <c r="L34" s="4">
        <f t="shared" ca="1" si="14"/>
        <v>0.6121967947297593</v>
      </c>
      <c r="M34" t="str">
        <f t="shared" ca="1" si="15"/>
        <v>Sur</v>
      </c>
      <c r="N34" s="4">
        <f t="shared" ca="1" si="16"/>
        <v>0.89596431641554697</v>
      </c>
      <c r="O34">
        <f t="shared" ca="1" si="17"/>
        <v>50</v>
      </c>
      <c r="P34" cm="1">
        <f t="array" aca="1" ref="P34" ca="1">G34+_xlfn.SWITCH(M34,"Este", 1, "Oeste",-1, 0)*O34</f>
        <v>0</v>
      </c>
      <c r="Q34" cm="1">
        <f t="array" aca="1" ref="Q34" ca="1">H34+_xlfn.SWITCH(M34,"Norte", 1, "Sur",-1, 0)*O34</f>
        <v>-30</v>
      </c>
      <c r="R34" t="str">
        <f t="shared" ca="1" si="18"/>
        <v>Sur</v>
      </c>
      <c r="S34" s="4">
        <f t="shared" ca="1" si="19"/>
        <v>3.9991930460272829E-2</v>
      </c>
      <c r="T34" t="str" cm="1">
        <f t="array" aca="1" ref="T34" ca="1">+_xlfn.SWITCH(R34,"Norte",LOOKUP(S34,$K$2:$K$3,$I$2:$I$3),"Centro",LOOKUP(S34,$K$6:$K$7,$I$6:$I$7),LOOKUP(S34,$K$10:$K$11,$I$10:$I$11))</f>
        <v>SI</v>
      </c>
      <c r="U34" s="4">
        <f t="shared" ca="1" si="20"/>
        <v>0.86860310755394687</v>
      </c>
      <c r="V34" t="str">
        <f t="shared" ca="1" si="21"/>
        <v>Oeste</v>
      </c>
      <c r="W34" s="4">
        <f t="shared" ca="1" si="22"/>
        <v>0.92286314386050272</v>
      </c>
      <c r="X34">
        <f t="shared" ca="1" si="23"/>
        <v>50</v>
      </c>
      <c r="Y34" cm="1">
        <f t="array" aca="1" ref="Y34" ca="1">P34+_xlfn.SWITCH(V34,"Este", 1, "Oeste",-1, 0)*X34</f>
        <v>-50</v>
      </c>
      <c r="Z34" cm="1">
        <f t="array" aca="1" ref="Z34" ca="1">Q34+_xlfn.SWITCH(V34,"Norte", 1, "Sur",-1, 0)*X34</f>
        <v>-30</v>
      </c>
      <c r="AA34" t="str">
        <f t="shared" ca="1" si="24"/>
        <v>Sur</v>
      </c>
      <c r="AB34" s="4">
        <f t="shared" ca="1" si="25"/>
        <v>0.81551118342873918</v>
      </c>
      <c r="AC34" t="str" cm="1">
        <f t="array" aca="1" ref="AC34" ca="1">+_xlfn.SWITCH(AA34,"Norte",LOOKUP(AB34,$K$2:$K$3,$I$2:$I$3),"Centro",LOOKUP(AB34,$K$6:$K$7,$I$6:$I$7),LOOKUP(AB34,$K$10:$K$11,$I$10:$I$11))</f>
        <v>NO</v>
      </c>
      <c r="AD34">
        <f t="shared" ca="1" si="26"/>
        <v>1</v>
      </c>
      <c r="AE34">
        <f t="shared" ca="1" si="27"/>
        <v>12</v>
      </c>
    </row>
    <row r="35" spans="2:31" x14ac:dyDescent="0.25">
      <c r="B35">
        <f t="shared" si="7"/>
        <v>21</v>
      </c>
      <c r="C35" s="4">
        <f t="shared" ca="1" si="8"/>
        <v>5.5245101659119777E-2</v>
      </c>
      <c r="D35" t="str">
        <f t="shared" ca="1" si="9"/>
        <v>Norte</v>
      </c>
      <c r="E35" s="4">
        <f t="shared" ca="1" si="10"/>
        <v>4.6723337670054876E-3</v>
      </c>
      <c r="F35">
        <f t="shared" ca="1" si="11"/>
        <v>20</v>
      </c>
      <c r="G35" cm="1">
        <f t="array" aca="1" ref="G35" ca="1">+_xlfn.SWITCH(D35,"Este", 1, "Oeste",-1, 0)*F35</f>
        <v>0</v>
      </c>
      <c r="H35" cm="1">
        <f t="array" aca="1" ref="H35" ca="1">+_xlfn.SWITCH(D35,"Norte", 1, "Sur",-1, 0)*F35</f>
        <v>20</v>
      </c>
      <c r="I35" t="str">
        <f t="shared" ca="1" si="12"/>
        <v>Norte</v>
      </c>
      <c r="J35" s="4">
        <f t="shared" ca="1" si="13"/>
        <v>8.4142250139354724E-2</v>
      </c>
      <c r="K35" t="str" cm="1">
        <f t="array" aca="1" ref="K35" ca="1">+_xlfn.SWITCH(I35,"Norte",LOOKUP(J35,$K$2:$K$3,$I$2:$I$3),"Centro",LOOKUP(J35,$K$6:$K$7,$I$6:$I$7),LOOKUP(J35,$K$10:$K$11,$I$10:$I$11))</f>
        <v>SI</v>
      </c>
      <c r="L35" s="4">
        <f t="shared" ca="1" si="14"/>
        <v>0.16838934329792032</v>
      </c>
      <c r="M35" t="str">
        <f t="shared" ca="1" si="15"/>
        <v>Norte</v>
      </c>
      <c r="N35" s="4">
        <f t="shared" ca="1" si="16"/>
        <v>0.61195910569142709</v>
      </c>
      <c r="O35">
        <f t="shared" ca="1" si="17"/>
        <v>40</v>
      </c>
      <c r="P35" cm="1">
        <f t="array" aca="1" ref="P35" ca="1">G35+_xlfn.SWITCH(M35,"Este", 1, "Oeste",-1, 0)*O35</f>
        <v>0</v>
      </c>
      <c r="Q35" cm="1">
        <f t="array" aca="1" ref="Q35" ca="1">H35+_xlfn.SWITCH(M35,"Norte", 1, "Sur",-1, 0)*O35</f>
        <v>60</v>
      </c>
      <c r="R35" t="str">
        <f t="shared" ca="1" si="18"/>
        <v>Norte</v>
      </c>
      <c r="S35" s="4">
        <f t="shared" ca="1" si="19"/>
        <v>0.34348545540932396</v>
      </c>
      <c r="T35" t="str" cm="1">
        <f t="array" aca="1" ref="T35" ca="1">+_xlfn.SWITCH(R35,"Norte",LOOKUP(S35,$K$2:$K$3,$I$2:$I$3),"Centro",LOOKUP(S35,$K$6:$K$7,$I$6:$I$7),LOOKUP(S35,$K$10:$K$11,$I$10:$I$11))</f>
        <v>SI</v>
      </c>
      <c r="U35" s="4">
        <f t="shared" ca="1" si="20"/>
        <v>0.32459525646877185</v>
      </c>
      <c r="V35" t="str">
        <f t="shared" ca="1" si="21"/>
        <v>Norte</v>
      </c>
      <c r="W35" s="4">
        <f t="shared" ca="1" si="22"/>
        <v>0.609974863361331</v>
      </c>
      <c r="X35">
        <f t="shared" ca="1" si="23"/>
        <v>40</v>
      </c>
      <c r="Y35" cm="1">
        <f t="array" aca="1" ref="Y35" ca="1">P35+_xlfn.SWITCH(V35,"Este", 1, "Oeste",-1, 0)*X35</f>
        <v>0</v>
      </c>
      <c r="Z35" cm="1">
        <f t="array" aca="1" ref="Z35" ca="1">Q35+_xlfn.SWITCH(V35,"Norte", 1, "Sur",-1, 0)*X35</f>
        <v>100</v>
      </c>
      <c r="AA35" t="str">
        <f t="shared" ca="1" si="24"/>
        <v>Norte</v>
      </c>
      <c r="AB35" s="4">
        <f t="shared" ca="1" si="25"/>
        <v>0.72828530298586458</v>
      </c>
      <c r="AC35" t="str" cm="1">
        <f t="array" aca="1" ref="AC35" ca="1">+_xlfn.SWITCH(AA35,"Norte",LOOKUP(AB35,$K$2:$K$3,$I$2:$I$3),"Centro",LOOKUP(AB35,$K$6:$K$7,$I$6:$I$7),LOOKUP(AB35,$K$10:$K$11,$I$10:$I$11))</f>
        <v>NO</v>
      </c>
      <c r="AD35">
        <f t="shared" ca="1" si="26"/>
        <v>2</v>
      </c>
      <c r="AE35">
        <f t="shared" ca="1" si="27"/>
        <v>13</v>
      </c>
    </row>
    <row r="36" spans="2:31" x14ac:dyDescent="0.25">
      <c r="B36">
        <f t="shared" si="7"/>
        <v>22</v>
      </c>
      <c r="C36" s="4">
        <f t="shared" ca="1" si="8"/>
        <v>0.93729964051591419</v>
      </c>
      <c r="D36" t="str">
        <f t="shared" ca="1" si="9"/>
        <v>Oeste</v>
      </c>
      <c r="E36" s="4">
        <f t="shared" ca="1" si="10"/>
        <v>0.51427062825444647</v>
      </c>
      <c r="F36">
        <f t="shared" ca="1" si="11"/>
        <v>40</v>
      </c>
      <c r="G36" cm="1">
        <f t="array" aca="1" ref="G36" ca="1">+_xlfn.SWITCH(D36,"Este", 1, "Oeste",-1, 0)*F36</f>
        <v>-40</v>
      </c>
      <c r="H36" cm="1">
        <f t="array" aca="1" ref="H36" ca="1">+_xlfn.SWITCH(D36,"Norte", 1, "Sur",-1, 0)*F36</f>
        <v>0</v>
      </c>
      <c r="I36" t="str">
        <f t="shared" ca="1" si="12"/>
        <v>Centro</v>
      </c>
      <c r="J36" s="4">
        <f t="shared" ca="1" si="13"/>
        <v>0.64929542240929639</v>
      </c>
      <c r="K36" t="str" cm="1">
        <f t="array" aca="1" ref="K36" ca="1">+_xlfn.SWITCH(I36,"Norte",LOOKUP(J36,$K$2:$K$3,$I$2:$I$3),"Centro",LOOKUP(J36,$K$6:$K$7,$I$6:$I$7),LOOKUP(J36,$K$10:$K$11,$I$10:$I$11))</f>
        <v>SI</v>
      </c>
      <c r="L36" s="4">
        <f t="shared" ca="1" si="14"/>
        <v>0.2987866271921924</v>
      </c>
      <c r="M36" t="str">
        <f t="shared" ca="1" si="15"/>
        <v>Norte</v>
      </c>
      <c r="N36" s="4">
        <f t="shared" ca="1" si="16"/>
        <v>0.3023160934542789</v>
      </c>
      <c r="O36">
        <f t="shared" ca="1" si="17"/>
        <v>40</v>
      </c>
      <c r="P36" cm="1">
        <f t="array" aca="1" ref="P36" ca="1">G36+_xlfn.SWITCH(M36,"Este", 1, "Oeste",-1, 0)*O36</f>
        <v>-40</v>
      </c>
      <c r="Q36" cm="1">
        <f t="array" aca="1" ref="Q36" ca="1">H36+_xlfn.SWITCH(M36,"Norte", 1, "Sur",-1, 0)*O36</f>
        <v>40</v>
      </c>
      <c r="R36" t="str">
        <f t="shared" ca="1" si="18"/>
        <v>Norte</v>
      </c>
      <c r="S36" s="4">
        <f t="shared" ca="1" si="19"/>
        <v>0.39715663358867415</v>
      </c>
      <c r="T36" t="str" cm="1">
        <f t="array" aca="1" ref="T36" ca="1">+_xlfn.SWITCH(R36,"Norte",LOOKUP(S36,$K$2:$K$3,$I$2:$I$3),"Centro",LOOKUP(S36,$K$6:$K$7,$I$6:$I$7),LOOKUP(S36,$K$10:$K$11,$I$10:$I$11))</f>
        <v>SI</v>
      </c>
      <c r="U36" s="4">
        <f t="shared" ca="1" si="20"/>
        <v>0.47227396004567213</v>
      </c>
      <c r="V36" t="str">
        <f t="shared" ca="1" si="21"/>
        <v>Sur</v>
      </c>
      <c r="W36" s="4">
        <f t="shared" ca="1" si="22"/>
        <v>0.45676114250780053</v>
      </c>
      <c r="X36">
        <f t="shared" ca="1" si="23"/>
        <v>40</v>
      </c>
      <c r="Y36" cm="1">
        <f t="array" aca="1" ref="Y36" ca="1">P36+_xlfn.SWITCH(V36,"Este", 1, "Oeste",-1, 0)*X36</f>
        <v>-40</v>
      </c>
      <c r="Z36" cm="1">
        <f t="array" aca="1" ref="Z36" ca="1">Q36+_xlfn.SWITCH(V36,"Norte", 1, "Sur",-1, 0)*X36</f>
        <v>0</v>
      </c>
      <c r="AA36" t="str">
        <f t="shared" ca="1" si="24"/>
        <v>Centro</v>
      </c>
      <c r="AB36" s="4">
        <f t="shared" ca="1" si="25"/>
        <v>0.42126311247157233</v>
      </c>
      <c r="AC36" t="str" cm="1">
        <f t="array" aca="1" ref="AC36" ca="1">+_xlfn.SWITCH(AA36,"Norte",LOOKUP(AB36,$K$2:$K$3,$I$2:$I$3),"Centro",LOOKUP(AB36,$K$6:$K$7,$I$6:$I$7),LOOKUP(AB36,$K$10:$K$11,$I$10:$I$11))</f>
        <v>SI</v>
      </c>
      <c r="AD36">
        <f t="shared" ca="1" si="26"/>
        <v>3</v>
      </c>
      <c r="AE36">
        <f t="shared" ca="1" si="27"/>
        <v>14</v>
      </c>
    </row>
    <row r="37" spans="2:31" x14ac:dyDescent="0.25">
      <c r="B37">
        <f t="shared" si="7"/>
        <v>23</v>
      </c>
      <c r="C37" s="4">
        <f t="shared" ca="1" si="8"/>
        <v>0.27514551316566926</v>
      </c>
      <c r="D37" t="str">
        <f t="shared" ca="1" si="9"/>
        <v>Norte</v>
      </c>
      <c r="E37" s="4">
        <f t="shared" ca="1" si="10"/>
        <v>0.74706255368486396</v>
      </c>
      <c r="F37">
        <f t="shared" ca="1" si="11"/>
        <v>40</v>
      </c>
      <c r="G37" cm="1">
        <f t="array" aca="1" ref="G37" ca="1">+_xlfn.SWITCH(D37,"Este", 1, "Oeste",-1, 0)*F37</f>
        <v>0</v>
      </c>
      <c r="H37" cm="1">
        <f t="array" aca="1" ref="H37" ca="1">+_xlfn.SWITCH(D37,"Norte", 1, "Sur",-1, 0)*F37</f>
        <v>40</v>
      </c>
      <c r="I37" t="str">
        <f t="shared" ca="1" si="12"/>
        <v>Norte</v>
      </c>
      <c r="J37" s="4">
        <f t="shared" ca="1" si="13"/>
        <v>0.24000056456535512</v>
      </c>
      <c r="K37" t="str" cm="1">
        <f t="array" aca="1" ref="K37" ca="1">+_xlfn.SWITCH(I37,"Norte",LOOKUP(J37,$K$2:$K$3,$I$2:$I$3),"Centro",LOOKUP(J37,$K$6:$K$7,$I$6:$I$7),LOOKUP(J37,$K$10:$K$11,$I$10:$I$11))</f>
        <v>SI</v>
      </c>
      <c r="L37" s="4">
        <f t="shared" ca="1" si="14"/>
        <v>0.75091576402791727</v>
      </c>
      <c r="M37" t="str">
        <f t="shared" ca="1" si="15"/>
        <v>Este</v>
      </c>
      <c r="N37" s="4">
        <f t="shared" ca="1" si="16"/>
        <v>0.33823981597333719</v>
      </c>
      <c r="O37">
        <f t="shared" ca="1" si="17"/>
        <v>40</v>
      </c>
      <c r="P37" cm="1">
        <f t="array" aca="1" ref="P37" ca="1">G37+_xlfn.SWITCH(M37,"Este", 1, "Oeste",-1, 0)*O37</f>
        <v>40</v>
      </c>
      <c r="Q37" cm="1">
        <f t="array" aca="1" ref="Q37" ca="1">H37+_xlfn.SWITCH(M37,"Norte", 1, "Sur",-1, 0)*O37</f>
        <v>40</v>
      </c>
      <c r="R37" t="str">
        <f t="shared" ca="1" si="18"/>
        <v>Norte</v>
      </c>
      <c r="S37" s="4">
        <f t="shared" ca="1" si="19"/>
        <v>0.68313836938900707</v>
      </c>
      <c r="T37" t="str" cm="1">
        <f t="array" aca="1" ref="T37" ca="1">+_xlfn.SWITCH(R37,"Norte",LOOKUP(S37,$K$2:$K$3,$I$2:$I$3),"Centro",LOOKUP(S37,$K$6:$K$7,$I$6:$I$7),LOOKUP(S37,$K$10:$K$11,$I$10:$I$11))</f>
        <v>SI</v>
      </c>
      <c r="U37" s="4">
        <f t="shared" ca="1" si="20"/>
        <v>0.47803996721288877</v>
      </c>
      <c r="V37" t="str">
        <f t="shared" ca="1" si="21"/>
        <v>Sur</v>
      </c>
      <c r="W37" s="4">
        <f t="shared" ca="1" si="22"/>
        <v>0.33075442357844875</v>
      </c>
      <c r="X37">
        <f t="shared" ca="1" si="23"/>
        <v>40</v>
      </c>
      <c r="Y37" cm="1">
        <f t="array" aca="1" ref="Y37" ca="1">P37+_xlfn.SWITCH(V37,"Este", 1, "Oeste",-1, 0)*X37</f>
        <v>40</v>
      </c>
      <c r="Z37" cm="1">
        <f t="array" aca="1" ref="Z37" ca="1">Q37+_xlfn.SWITCH(V37,"Norte", 1, "Sur",-1, 0)*X37</f>
        <v>0</v>
      </c>
      <c r="AA37" t="str">
        <f t="shared" ca="1" si="24"/>
        <v>Centro</v>
      </c>
      <c r="AB37" s="4">
        <f t="shared" ca="1" si="25"/>
        <v>0.67224271060201768</v>
      </c>
      <c r="AC37" t="str" cm="1">
        <f t="array" aca="1" ref="AC37" ca="1">+_xlfn.SWITCH(AA37,"Norte",LOOKUP(AB37,$K$2:$K$3,$I$2:$I$3),"Centro",LOOKUP(AB37,$K$6:$K$7,$I$6:$I$7),LOOKUP(AB37,$K$10:$K$11,$I$10:$I$11))</f>
        <v>SI</v>
      </c>
      <c r="AD37">
        <f t="shared" ca="1" si="26"/>
        <v>3</v>
      </c>
      <c r="AE37">
        <f t="shared" ca="1" si="27"/>
        <v>15</v>
      </c>
    </row>
    <row r="38" spans="2:31" x14ac:dyDescent="0.25">
      <c r="B38">
        <f t="shared" si="7"/>
        <v>24</v>
      </c>
      <c r="C38" s="4">
        <f t="shared" ca="1" si="8"/>
        <v>0.25675551826359344</v>
      </c>
      <c r="D38" t="str">
        <f t="shared" ca="1" si="9"/>
        <v>Norte</v>
      </c>
      <c r="E38" s="4">
        <f t="shared" ca="1" si="10"/>
        <v>0.34692972265213229</v>
      </c>
      <c r="F38">
        <f t="shared" ca="1" si="11"/>
        <v>40</v>
      </c>
      <c r="G38" cm="1">
        <f t="array" aca="1" ref="G38" ca="1">+_xlfn.SWITCH(D38,"Este", 1, "Oeste",-1, 0)*F38</f>
        <v>0</v>
      </c>
      <c r="H38" cm="1">
        <f t="array" aca="1" ref="H38" ca="1">+_xlfn.SWITCH(D38,"Norte", 1, "Sur",-1, 0)*F38</f>
        <v>40</v>
      </c>
      <c r="I38" t="str">
        <f t="shared" ca="1" si="12"/>
        <v>Norte</v>
      </c>
      <c r="J38" s="4">
        <f t="shared" ca="1" si="13"/>
        <v>0.83238172418269063</v>
      </c>
      <c r="K38" t="str" cm="1">
        <f t="array" aca="1" ref="K38" ca="1">+_xlfn.SWITCH(I38,"Norte",LOOKUP(J38,$K$2:$K$3,$I$2:$I$3),"Centro",LOOKUP(J38,$K$6:$K$7,$I$6:$I$7),LOOKUP(J38,$K$10:$K$11,$I$10:$I$11))</f>
        <v>NO</v>
      </c>
      <c r="L38" s="4">
        <f t="shared" ca="1" si="14"/>
        <v>0.62819140469851831</v>
      </c>
      <c r="M38" t="str">
        <f t="shared" ca="1" si="15"/>
        <v>Sur</v>
      </c>
      <c r="N38" s="4">
        <f t="shared" ca="1" si="16"/>
        <v>0.33059975521960328</v>
      </c>
      <c r="O38">
        <f t="shared" ca="1" si="17"/>
        <v>40</v>
      </c>
      <c r="P38" cm="1">
        <f t="array" aca="1" ref="P38" ca="1">G38+_xlfn.SWITCH(M38,"Este", 1, "Oeste",-1, 0)*O38</f>
        <v>0</v>
      </c>
      <c r="Q38" cm="1">
        <f t="array" aca="1" ref="Q38" ca="1">H38+_xlfn.SWITCH(M38,"Norte", 1, "Sur",-1, 0)*O38</f>
        <v>0</v>
      </c>
      <c r="R38" t="str">
        <f t="shared" ca="1" si="18"/>
        <v>Centro</v>
      </c>
      <c r="S38" s="4">
        <f t="shared" ca="1" si="19"/>
        <v>0.58204222640061087</v>
      </c>
      <c r="T38" t="str" cm="1">
        <f t="array" aca="1" ref="T38" ca="1">+_xlfn.SWITCH(R38,"Norte",LOOKUP(S38,$K$2:$K$3,$I$2:$I$3),"Centro",LOOKUP(S38,$K$6:$K$7,$I$6:$I$7),LOOKUP(S38,$K$10:$K$11,$I$10:$I$11))</f>
        <v>SI</v>
      </c>
      <c r="U38" s="4">
        <f t="shared" ca="1" si="20"/>
        <v>0.41721614519149119</v>
      </c>
      <c r="V38" t="str">
        <f t="shared" ca="1" si="21"/>
        <v>Sur</v>
      </c>
      <c r="W38" s="4">
        <f t="shared" ca="1" si="22"/>
        <v>0.75381763442485683</v>
      </c>
      <c r="X38">
        <f t="shared" ca="1" si="23"/>
        <v>40</v>
      </c>
      <c r="Y38" cm="1">
        <f t="array" aca="1" ref="Y38" ca="1">P38+_xlfn.SWITCH(V38,"Este", 1, "Oeste",-1, 0)*X38</f>
        <v>0</v>
      </c>
      <c r="Z38" cm="1">
        <f t="array" aca="1" ref="Z38" ca="1">Q38+_xlfn.SWITCH(V38,"Norte", 1, "Sur",-1, 0)*X38</f>
        <v>-40</v>
      </c>
      <c r="AA38" t="str">
        <f t="shared" ca="1" si="24"/>
        <v>Sur</v>
      </c>
      <c r="AB38" s="4">
        <f t="shared" ca="1" si="25"/>
        <v>0.98945754662974628</v>
      </c>
      <c r="AC38" t="str" cm="1">
        <f t="array" aca="1" ref="AC38" ca="1">+_xlfn.SWITCH(AA38,"Norte",LOOKUP(AB38,$K$2:$K$3,$I$2:$I$3),"Centro",LOOKUP(AB38,$K$6:$K$7,$I$6:$I$7),LOOKUP(AB38,$K$10:$K$11,$I$10:$I$11))</f>
        <v>NO</v>
      </c>
      <c r="AD38">
        <f t="shared" ca="1" si="26"/>
        <v>1</v>
      </c>
      <c r="AE38">
        <f t="shared" ca="1" si="27"/>
        <v>15</v>
      </c>
    </row>
    <row r="39" spans="2:31" x14ac:dyDescent="0.25">
      <c r="B39">
        <f t="shared" si="7"/>
        <v>25</v>
      </c>
      <c r="C39" s="4">
        <f t="shared" ca="1" si="8"/>
        <v>0.95923200772319628</v>
      </c>
      <c r="D39" t="str">
        <f t="shared" ca="1" si="9"/>
        <v>Oeste</v>
      </c>
      <c r="E39" s="4">
        <f t="shared" ca="1" si="10"/>
        <v>0.54517631331134953</v>
      </c>
      <c r="F39">
        <f t="shared" ca="1" si="11"/>
        <v>40</v>
      </c>
      <c r="G39" cm="1">
        <f t="array" aca="1" ref="G39" ca="1">+_xlfn.SWITCH(D39,"Este", 1, "Oeste",-1, 0)*F39</f>
        <v>-40</v>
      </c>
      <c r="H39" cm="1">
        <f t="array" aca="1" ref="H39" ca="1">+_xlfn.SWITCH(D39,"Norte", 1, "Sur",-1, 0)*F39</f>
        <v>0</v>
      </c>
      <c r="I39" t="str">
        <f t="shared" ca="1" si="12"/>
        <v>Centro</v>
      </c>
      <c r="J39" s="4">
        <f t="shared" ca="1" si="13"/>
        <v>0.7160638603447872</v>
      </c>
      <c r="K39" t="str" cm="1">
        <f t="array" aca="1" ref="K39" ca="1">+_xlfn.SWITCH(I39,"Norte",LOOKUP(J39,$K$2:$K$3,$I$2:$I$3),"Centro",LOOKUP(J39,$K$6:$K$7,$I$6:$I$7),LOOKUP(J39,$K$10:$K$11,$I$10:$I$11))</f>
        <v>SI</v>
      </c>
      <c r="L39" s="4">
        <f t="shared" ca="1" si="14"/>
        <v>0.89976600659175088</v>
      </c>
      <c r="M39" t="str">
        <f t="shared" ca="1" si="15"/>
        <v>Oeste</v>
      </c>
      <c r="N39" s="4">
        <f t="shared" ca="1" si="16"/>
        <v>0.58493952511525993</v>
      </c>
      <c r="O39">
        <f t="shared" ca="1" si="17"/>
        <v>40</v>
      </c>
      <c r="P39" cm="1">
        <f t="array" aca="1" ref="P39" ca="1">G39+_xlfn.SWITCH(M39,"Este", 1, "Oeste",-1, 0)*O39</f>
        <v>-80</v>
      </c>
      <c r="Q39" cm="1">
        <f t="array" aca="1" ref="Q39" ca="1">H39+_xlfn.SWITCH(M39,"Norte", 1, "Sur",-1, 0)*O39</f>
        <v>0</v>
      </c>
      <c r="R39" t="str">
        <f t="shared" ca="1" si="18"/>
        <v>Centro</v>
      </c>
      <c r="S39" s="4">
        <f t="shared" ca="1" si="19"/>
        <v>0.10416409151545036</v>
      </c>
      <c r="T39" t="str" cm="1">
        <f t="array" aca="1" ref="T39" ca="1">+_xlfn.SWITCH(R39,"Norte",LOOKUP(S39,$K$2:$K$3,$I$2:$I$3),"Centro",LOOKUP(S39,$K$6:$K$7,$I$6:$I$7),LOOKUP(S39,$K$10:$K$11,$I$10:$I$11))</f>
        <v>SI</v>
      </c>
      <c r="U39" s="4">
        <f t="shared" ca="1" si="20"/>
        <v>0.38094279998479486</v>
      </c>
      <c r="V39" t="str">
        <f t="shared" ca="1" si="21"/>
        <v>Sur</v>
      </c>
      <c r="W39" s="4">
        <f t="shared" ca="1" si="22"/>
        <v>0.34396134326084182</v>
      </c>
      <c r="X39">
        <f t="shared" ca="1" si="23"/>
        <v>40</v>
      </c>
      <c r="Y39" cm="1">
        <f t="array" aca="1" ref="Y39" ca="1">P39+_xlfn.SWITCH(V39,"Este", 1, "Oeste",-1, 0)*X39</f>
        <v>-80</v>
      </c>
      <c r="Z39" cm="1">
        <f t="array" aca="1" ref="Z39" ca="1">Q39+_xlfn.SWITCH(V39,"Norte", 1, "Sur",-1, 0)*X39</f>
        <v>-40</v>
      </c>
      <c r="AA39" t="str">
        <f t="shared" ca="1" si="24"/>
        <v>Sur</v>
      </c>
      <c r="AB39" s="4">
        <f t="shared" ca="1" si="25"/>
        <v>0.668486540721975</v>
      </c>
      <c r="AC39" t="str" cm="1">
        <f t="array" aca="1" ref="AC39" ca="1">+_xlfn.SWITCH(AA39,"Norte",LOOKUP(AB39,$K$2:$K$3,$I$2:$I$3),"Centro",LOOKUP(AB39,$K$6:$K$7,$I$6:$I$7),LOOKUP(AB39,$K$10:$K$11,$I$10:$I$11))</f>
        <v>NO</v>
      </c>
      <c r="AD39">
        <f t="shared" ca="1" si="26"/>
        <v>2</v>
      </c>
      <c r="AE39">
        <f t="shared" ca="1" si="27"/>
        <v>16</v>
      </c>
    </row>
    <row r="40" spans="2:31" x14ac:dyDescent="0.25">
      <c r="B40">
        <f t="shared" si="7"/>
        <v>26</v>
      </c>
      <c r="C40" s="4">
        <f t="shared" ca="1" si="8"/>
        <v>0.35432295230803545</v>
      </c>
      <c r="D40" t="str">
        <f t="shared" ca="1" si="9"/>
        <v>Sur</v>
      </c>
      <c r="E40" s="4">
        <f t="shared" ca="1" si="10"/>
        <v>0.27469704579973309</v>
      </c>
      <c r="F40">
        <f t="shared" ca="1" si="11"/>
        <v>20</v>
      </c>
      <c r="G40" cm="1">
        <f t="array" aca="1" ref="G40" ca="1">+_xlfn.SWITCH(D40,"Este", 1, "Oeste",-1, 0)*F40</f>
        <v>0</v>
      </c>
      <c r="H40" cm="1">
        <f t="array" aca="1" ref="H40" ca="1">+_xlfn.SWITCH(D40,"Norte", 1, "Sur",-1, 0)*F40</f>
        <v>-20</v>
      </c>
      <c r="I40" t="str">
        <f t="shared" ca="1" si="12"/>
        <v>Sur</v>
      </c>
      <c r="J40" s="4">
        <f t="shared" ca="1" si="13"/>
        <v>0.66578225100089172</v>
      </c>
      <c r="K40" t="str" cm="1">
        <f t="array" aca="1" ref="K40" ca="1">+_xlfn.SWITCH(I40,"Norte",LOOKUP(J40,$K$2:$K$3,$I$2:$I$3),"Centro",LOOKUP(J40,$K$6:$K$7,$I$6:$I$7),LOOKUP(J40,$K$10:$K$11,$I$10:$I$11))</f>
        <v>NO</v>
      </c>
      <c r="L40" s="4">
        <f t="shared" ca="1" si="14"/>
        <v>0.301304229680602</v>
      </c>
      <c r="M40" t="str">
        <f t="shared" ca="1" si="15"/>
        <v>Norte</v>
      </c>
      <c r="N40" s="4">
        <f t="shared" ca="1" si="16"/>
        <v>0.93048198002842786</v>
      </c>
      <c r="O40">
        <f t="shared" ca="1" si="17"/>
        <v>50</v>
      </c>
      <c r="P40" cm="1">
        <f t="array" aca="1" ref="P40" ca="1">G40+_xlfn.SWITCH(M40,"Este", 1, "Oeste",-1, 0)*O40</f>
        <v>0</v>
      </c>
      <c r="Q40" cm="1">
        <f t="array" aca="1" ref="Q40" ca="1">H40+_xlfn.SWITCH(M40,"Norte", 1, "Sur",-1, 0)*O40</f>
        <v>30</v>
      </c>
      <c r="R40" t="str">
        <f t="shared" ca="1" si="18"/>
        <v>Norte</v>
      </c>
      <c r="S40" s="4">
        <f t="shared" ca="1" si="19"/>
        <v>0.19207714574770218</v>
      </c>
      <c r="T40" t="str" cm="1">
        <f t="array" aca="1" ref="T40" ca="1">+_xlfn.SWITCH(R40,"Norte",LOOKUP(S40,$K$2:$K$3,$I$2:$I$3),"Centro",LOOKUP(S40,$K$6:$K$7,$I$6:$I$7),LOOKUP(S40,$K$10:$K$11,$I$10:$I$11))</f>
        <v>SI</v>
      </c>
      <c r="U40" s="4">
        <f t="shared" ca="1" si="20"/>
        <v>0.46755509649061</v>
      </c>
      <c r="V40" t="str">
        <f t="shared" ca="1" si="21"/>
        <v>Sur</v>
      </c>
      <c r="W40" s="4">
        <f t="shared" ca="1" si="22"/>
        <v>0.28554200996727841</v>
      </c>
      <c r="X40">
        <f t="shared" ca="1" si="23"/>
        <v>20</v>
      </c>
      <c r="Y40" cm="1">
        <f t="array" aca="1" ref="Y40" ca="1">P40+_xlfn.SWITCH(V40,"Este", 1, "Oeste",-1, 0)*X40</f>
        <v>0</v>
      </c>
      <c r="Z40" cm="1">
        <f t="array" aca="1" ref="Z40" ca="1">Q40+_xlfn.SWITCH(V40,"Norte", 1, "Sur",-1, 0)*X40</f>
        <v>10</v>
      </c>
      <c r="AA40" t="str">
        <f t="shared" ca="1" si="24"/>
        <v>Norte</v>
      </c>
      <c r="AB40" s="4">
        <f t="shared" ca="1" si="25"/>
        <v>0.89916777069054721</v>
      </c>
      <c r="AC40" t="str" cm="1">
        <f t="array" aca="1" ref="AC40" ca="1">+_xlfn.SWITCH(AA40,"Norte",LOOKUP(AB40,$K$2:$K$3,$I$2:$I$3),"Centro",LOOKUP(AB40,$K$6:$K$7,$I$6:$I$7),LOOKUP(AB40,$K$10:$K$11,$I$10:$I$11))</f>
        <v>NO</v>
      </c>
      <c r="AD40">
        <f t="shared" ca="1" si="26"/>
        <v>1</v>
      </c>
      <c r="AE40">
        <f t="shared" ca="1" si="27"/>
        <v>16</v>
      </c>
    </row>
    <row r="41" spans="2:31" x14ac:dyDescent="0.25">
      <c r="B41">
        <f t="shared" si="7"/>
        <v>27</v>
      </c>
      <c r="C41" s="4">
        <f t="shared" ca="1" si="8"/>
        <v>0.29639074394424836</v>
      </c>
      <c r="D41" t="str">
        <f t="shared" ca="1" si="9"/>
        <v>Norte</v>
      </c>
      <c r="E41" s="4">
        <f t="shared" ca="1" si="10"/>
        <v>0.66850665512803698</v>
      </c>
      <c r="F41">
        <f t="shared" ca="1" si="11"/>
        <v>40</v>
      </c>
      <c r="G41" cm="1">
        <f t="array" aca="1" ref="G41" ca="1">+_xlfn.SWITCH(D41,"Este", 1, "Oeste",-1, 0)*F41</f>
        <v>0</v>
      </c>
      <c r="H41" cm="1">
        <f t="array" aca="1" ref="H41" ca="1">+_xlfn.SWITCH(D41,"Norte", 1, "Sur",-1, 0)*F41</f>
        <v>40</v>
      </c>
      <c r="I41" t="str">
        <f t="shared" ca="1" si="12"/>
        <v>Norte</v>
      </c>
      <c r="J41" s="4">
        <f t="shared" ca="1" si="13"/>
        <v>0.30177752083393572</v>
      </c>
      <c r="K41" t="str" cm="1">
        <f t="array" aca="1" ref="K41" ca="1">+_xlfn.SWITCH(I41,"Norte",LOOKUP(J41,$K$2:$K$3,$I$2:$I$3),"Centro",LOOKUP(J41,$K$6:$K$7,$I$6:$I$7),LOOKUP(J41,$K$10:$K$11,$I$10:$I$11))</f>
        <v>SI</v>
      </c>
      <c r="L41" s="4">
        <f t="shared" ca="1" si="14"/>
        <v>0.35823646128554254</v>
      </c>
      <c r="M41" t="str">
        <f t="shared" ca="1" si="15"/>
        <v>Sur</v>
      </c>
      <c r="N41" s="4">
        <f t="shared" ca="1" si="16"/>
        <v>0.91210273810343301</v>
      </c>
      <c r="O41">
        <f t="shared" ca="1" si="17"/>
        <v>50</v>
      </c>
      <c r="P41" cm="1">
        <f t="array" aca="1" ref="P41" ca="1">G41+_xlfn.SWITCH(M41,"Este", 1, "Oeste",-1, 0)*O41</f>
        <v>0</v>
      </c>
      <c r="Q41" cm="1">
        <f t="array" aca="1" ref="Q41" ca="1">H41+_xlfn.SWITCH(M41,"Norte", 1, "Sur",-1, 0)*O41</f>
        <v>-10</v>
      </c>
      <c r="R41" t="str">
        <f t="shared" ca="1" si="18"/>
        <v>Sur</v>
      </c>
      <c r="S41" s="4">
        <f t="shared" ca="1" si="19"/>
        <v>0.56420914213109563</v>
      </c>
      <c r="T41" t="str" cm="1">
        <f t="array" aca="1" ref="T41" ca="1">+_xlfn.SWITCH(R41,"Norte",LOOKUP(S41,$K$2:$K$3,$I$2:$I$3),"Centro",LOOKUP(S41,$K$6:$K$7,$I$6:$I$7),LOOKUP(S41,$K$10:$K$11,$I$10:$I$11))</f>
        <v>NO</v>
      </c>
      <c r="U41" s="4">
        <f t="shared" ca="1" si="20"/>
        <v>0.40610222765096227</v>
      </c>
      <c r="V41" t="str">
        <f t="shared" ca="1" si="21"/>
        <v>Sur</v>
      </c>
      <c r="W41" s="4">
        <f t="shared" ca="1" si="22"/>
        <v>0.23949251965342799</v>
      </c>
      <c r="X41">
        <f t="shared" ca="1" si="23"/>
        <v>20</v>
      </c>
      <c r="Y41" cm="1">
        <f t="array" aca="1" ref="Y41" ca="1">P41+_xlfn.SWITCH(V41,"Este", 1, "Oeste",-1, 0)*X41</f>
        <v>0</v>
      </c>
      <c r="Z41" cm="1">
        <f t="array" aca="1" ref="Z41" ca="1">Q41+_xlfn.SWITCH(V41,"Norte", 1, "Sur",-1, 0)*X41</f>
        <v>-30</v>
      </c>
      <c r="AA41" t="str">
        <f t="shared" ca="1" si="24"/>
        <v>Sur</v>
      </c>
      <c r="AB41" s="4">
        <f t="shared" ca="1" si="25"/>
        <v>0.45847719019785393</v>
      </c>
      <c r="AC41" t="str" cm="1">
        <f t="array" aca="1" ref="AC41" ca="1">+_xlfn.SWITCH(AA41,"Norte",LOOKUP(AB41,$K$2:$K$3,$I$2:$I$3),"Centro",LOOKUP(AB41,$K$6:$K$7,$I$6:$I$7),LOOKUP(AB41,$K$10:$K$11,$I$10:$I$11))</f>
        <v>NO</v>
      </c>
      <c r="AD41">
        <f t="shared" ca="1" si="26"/>
        <v>1</v>
      </c>
      <c r="AE41">
        <f t="shared" ca="1" si="27"/>
        <v>16</v>
      </c>
    </row>
    <row r="42" spans="2:31" x14ac:dyDescent="0.25">
      <c r="B42">
        <f t="shared" si="7"/>
        <v>28</v>
      </c>
      <c r="C42" s="4">
        <f t="shared" ca="1" si="8"/>
        <v>0.88881061856880228</v>
      </c>
      <c r="D42" t="str">
        <f t="shared" ca="1" si="9"/>
        <v>Oeste</v>
      </c>
      <c r="E42" s="4">
        <f t="shared" ca="1" si="10"/>
        <v>0.93657658538651767</v>
      </c>
      <c r="F42">
        <f t="shared" ca="1" si="11"/>
        <v>50</v>
      </c>
      <c r="G42" cm="1">
        <f t="array" aca="1" ref="G42" ca="1">+_xlfn.SWITCH(D42,"Este", 1, "Oeste",-1, 0)*F42</f>
        <v>-50</v>
      </c>
      <c r="H42" cm="1">
        <f t="array" aca="1" ref="H42" ca="1">+_xlfn.SWITCH(D42,"Norte", 1, "Sur",-1, 0)*F42</f>
        <v>0</v>
      </c>
      <c r="I42" t="str">
        <f t="shared" ca="1" si="12"/>
        <v>Centro</v>
      </c>
      <c r="J42" s="4">
        <f t="shared" ca="1" si="13"/>
        <v>0.12348285693898919</v>
      </c>
      <c r="K42" t="str" cm="1">
        <f t="array" aca="1" ref="K42" ca="1">+_xlfn.SWITCH(I42,"Norte",LOOKUP(J42,$K$2:$K$3,$I$2:$I$3),"Centro",LOOKUP(J42,$K$6:$K$7,$I$6:$I$7),LOOKUP(J42,$K$10:$K$11,$I$10:$I$11))</f>
        <v>SI</v>
      </c>
      <c r="L42" s="4">
        <f t="shared" ca="1" si="14"/>
        <v>0.77776165778595219</v>
      </c>
      <c r="M42" t="str">
        <f t="shared" ca="1" si="15"/>
        <v>Este</v>
      </c>
      <c r="N42" s="4">
        <f t="shared" ca="1" si="16"/>
        <v>0.87903623769495753</v>
      </c>
      <c r="O42">
        <f t="shared" ca="1" si="17"/>
        <v>50</v>
      </c>
      <c r="P42" cm="1">
        <f t="array" aca="1" ref="P42" ca="1">G42+_xlfn.SWITCH(M42,"Este", 1, "Oeste",-1, 0)*O42</f>
        <v>0</v>
      </c>
      <c r="Q42" cm="1">
        <f t="array" aca="1" ref="Q42" ca="1">H42+_xlfn.SWITCH(M42,"Norte", 1, "Sur",-1, 0)*O42</f>
        <v>0</v>
      </c>
      <c r="R42" t="str">
        <f t="shared" ca="1" si="18"/>
        <v>Centro</v>
      </c>
      <c r="S42" s="4">
        <f t="shared" ca="1" si="19"/>
        <v>0.73344210726643222</v>
      </c>
      <c r="T42" t="str" cm="1">
        <f t="array" aca="1" ref="T42" ca="1">+_xlfn.SWITCH(R42,"Norte",LOOKUP(S42,$K$2:$K$3,$I$2:$I$3),"Centro",LOOKUP(S42,$K$6:$K$7,$I$6:$I$7),LOOKUP(S42,$K$10:$K$11,$I$10:$I$11))</f>
        <v>SI</v>
      </c>
      <c r="U42" s="4">
        <f t="shared" ca="1" si="20"/>
        <v>0.37418908338117463</v>
      </c>
      <c r="V42" t="str">
        <f t="shared" ca="1" si="21"/>
        <v>Sur</v>
      </c>
      <c r="W42" s="4">
        <f t="shared" ca="1" si="22"/>
        <v>4.0553393333560672E-2</v>
      </c>
      <c r="X42">
        <f t="shared" ca="1" si="23"/>
        <v>20</v>
      </c>
      <c r="Y42" cm="1">
        <f t="array" aca="1" ref="Y42" ca="1">P42+_xlfn.SWITCH(V42,"Este", 1, "Oeste",-1, 0)*X42</f>
        <v>0</v>
      </c>
      <c r="Z42" cm="1">
        <f t="array" aca="1" ref="Z42" ca="1">Q42+_xlfn.SWITCH(V42,"Norte", 1, "Sur",-1, 0)*X42</f>
        <v>-20</v>
      </c>
      <c r="AA42" t="str">
        <f t="shared" ca="1" si="24"/>
        <v>Sur</v>
      </c>
      <c r="AB42" s="4">
        <f t="shared" ca="1" si="25"/>
        <v>0.82439378946569875</v>
      </c>
      <c r="AC42" t="str" cm="1">
        <f t="array" aca="1" ref="AC42" ca="1">+_xlfn.SWITCH(AA42,"Norte",LOOKUP(AB42,$K$2:$K$3,$I$2:$I$3),"Centro",LOOKUP(AB42,$K$6:$K$7,$I$6:$I$7),LOOKUP(AB42,$K$10:$K$11,$I$10:$I$11))</f>
        <v>NO</v>
      </c>
      <c r="AD42">
        <f t="shared" ca="1" si="26"/>
        <v>2</v>
      </c>
      <c r="AE42">
        <f t="shared" ca="1" si="27"/>
        <v>17</v>
      </c>
    </row>
    <row r="43" spans="2:31" x14ac:dyDescent="0.25">
      <c r="B43">
        <f t="shared" si="7"/>
        <v>29</v>
      </c>
      <c r="C43" s="4">
        <f t="shared" ca="1" si="8"/>
        <v>0.93892123407805417</v>
      </c>
      <c r="D43" t="str">
        <f t="shared" ca="1" si="9"/>
        <v>Oeste</v>
      </c>
      <c r="E43" s="4">
        <f t="shared" ca="1" si="10"/>
        <v>0.10107534469445079</v>
      </c>
      <c r="F43">
        <f t="shared" ca="1" si="11"/>
        <v>20</v>
      </c>
      <c r="G43" cm="1">
        <f t="array" aca="1" ref="G43" ca="1">+_xlfn.SWITCH(D43,"Este", 1, "Oeste",-1, 0)*F43</f>
        <v>-20</v>
      </c>
      <c r="H43" cm="1">
        <f t="array" aca="1" ref="H43" ca="1">+_xlfn.SWITCH(D43,"Norte", 1, "Sur",-1, 0)*F43</f>
        <v>0</v>
      </c>
      <c r="I43" t="str">
        <f t="shared" ca="1" si="12"/>
        <v>Centro</v>
      </c>
      <c r="J43" s="4">
        <f t="shared" ca="1" si="13"/>
        <v>7.8233147047423346E-2</v>
      </c>
      <c r="K43" t="str" cm="1">
        <f t="array" aca="1" ref="K43" ca="1">+_xlfn.SWITCH(I43,"Norte",LOOKUP(J43,$K$2:$K$3,$I$2:$I$3),"Centro",LOOKUP(J43,$K$6:$K$7,$I$6:$I$7),LOOKUP(J43,$K$10:$K$11,$I$10:$I$11))</f>
        <v>SI</v>
      </c>
      <c r="L43" s="4">
        <f t="shared" ca="1" si="14"/>
        <v>0.91691689866454029</v>
      </c>
      <c r="M43" t="str">
        <f t="shared" ca="1" si="15"/>
        <v>Oeste</v>
      </c>
      <c r="N43" s="4">
        <f t="shared" ca="1" si="16"/>
        <v>0.35021964467863498</v>
      </c>
      <c r="O43">
        <f t="shared" ca="1" si="17"/>
        <v>40</v>
      </c>
      <c r="P43" cm="1">
        <f t="array" aca="1" ref="P43" ca="1">G43+_xlfn.SWITCH(M43,"Este", 1, "Oeste",-1, 0)*O43</f>
        <v>-60</v>
      </c>
      <c r="Q43" cm="1">
        <f t="array" aca="1" ref="Q43" ca="1">H43+_xlfn.SWITCH(M43,"Norte", 1, "Sur",-1, 0)*O43</f>
        <v>0</v>
      </c>
      <c r="R43" t="str">
        <f t="shared" ca="1" si="18"/>
        <v>Centro</v>
      </c>
      <c r="S43" s="4">
        <f t="shared" ca="1" si="19"/>
        <v>0.7979380034315654</v>
      </c>
      <c r="T43" t="str" cm="1">
        <f t="array" aca="1" ref="T43" ca="1">+_xlfn.SWITCH(R43,"Norte",LOOKUP(S43,$K$2:$K$3,$I$2:$I$3),"Centro",LOOKUP(S43,$K$6:$K$7,$I$6:$I$7),LOOKUP(S43,$K$10:$K$11,$I$10:$I$11))</f>
        <v>SI</v>
      </c>
      <c r="U43" s="4">
        <f t="shared" ca="1" si="20"/>
        <v>0.50687502285118458</v>
      </c>
      <c r="V43" t="str">
        <f t="shared" ca="1" si="21"/>
        <v>Sur</v>
      </c>
      <c r="W43" s="4">
        <f t="shared" ca="1" si="22"/>
        <v>0.91048465213899488</v>
      </c>
      <c r="X43">
        <f t="shared" ca="1" si="23"/>
        <v>50</v>
      </c>
      <c r="Y43" cm="1">
        <f t="array" aca="1" ref="Y43" ca="1">P43+_xlfn.SWITCH(V43,"Este", 1, "Oeste",-1, 0)*X43</f>
        <v>-60</v>
      </c>
      <c r="Z43" cm="1">
        <f t="array" aca="1" ref="Z43" ca="1">Q43+_xlfn.SWITCH(V43,"Norte", 1, "Sur",-1, 0)*X43</f>
        <v>-50</v>
      </c>
      <c r="AA43" t="str">
        <f t="shared" ca="1" si="24"/>
        <v>Sur</v>
      </c>
      <c r="AB43" s="4">
        <f t="shared" ca="1" si="25"/>
        <v>0.25075010711226131</v>
      </c>
      <c r="AC43" t="str" cm="1">
        <f t="array" aca="1" ref="AC43" ca="1">+_xlfn.SWITCH(AA43,"Norte",LOOKUP(AB43,$K$2:$K$3,$I$2:$I$3),"Centro",LOOKUP(AB43,$K$6:$K$7,$I$6:$I$7),LOOKUP(AB43,$K$10:$K$11,$I$10:$I$11))</f>
        <v>SI</v>
      </c>
      <c r="AD43">
        <f t="shared" ca="1" si="26"/>
        <v>3</v>
      </c>
      <c r="AE43">
        <f t="shared" ca="1" si="27"/>
        <v>18</v>
      </c>
    </row>
    <row r="44" spans="2:31" x14ac:dyDescent="0.25">
      <c r="B44">
        <f t="shared" si="7"/>
        <v>30</v>
      </c>
      <c r="C44" s="4">
        <f t="shared" ca="1" si="8"/>
        <v>0.91154282715167945</v>
      </c>
      <c r="D44" t="str">
        <f t="shared" ca="1" si="9"/>
        <v>Oeste</v>
      </c>
      <c r="E44" s="4">
        <f t="shared" ca="1" si="10"/>
        <v>0.89292286567145696</v>
      </c>
      <c r="F44">
        <f t="shared" ca="1" si="11"/>
        <v>50</v>
      </c>
      <c r="G44" cm="1">
        <f t="array" aca="1" ref="G44" ca="1">+_xlfn.SWITCH(D44,"Este", 1, "Oeste",-1, 0)*F44</f>
        <v>-50</v>
      </c>
      <c r="H44" cm="1">
        <f t="array" aca="1" ref="H44" ca="1">+_xlfn.SWITCH(D44,"Norte", 1, "Sur",-1, 0)*F44</f>
        <v>0</v>
      </c>
      <c r="I44" t="str">
        <f t="shared" ca="1" si="12"/>
        <v>Centro</v>
      </c>
      <c r="J44" s="4">
        <f t="shared" ca="1" si="13"/>
        <v>0.55431642974847883</v>
      </c>
      <c r="K44" t="str" cm="1">
        <f t="array" aca="1" ref="K44" ca="1">+_xlfn.SWITCH(I44,"Norte",LOOKUP(J44,$K$2:$K$3,$I$2:$I$3),"Centro",LOOKUP(J44,$K$6:$K$7,$I$6:$I$7),LOOKUP(J44,$K$10:$K$11,$I$10:$I$11))</f>
        <v>SI</v>
      </c>
      <c r="L44" s="4">
        <f t="shared" ca="1" si="14"/>
        <v>0.78008411871798944</v>
      </c>
      <c r="M44" t="str">
        <f t="shared" ca="1" si="15"/>
        <v>Este</v>
      </c>
      <c r="N44" s="4">
        <f t="shared" ca="1" si="16"/>
        <v>0.6573962044716769</v>
      </c>
      <c r="O44">
        <f t="shared" ca="1" si="17"/>
        <v>40</v>
      </c>
      <c r="P44" cm="1">
        <f t="array" aca="1" ref="P44" ca="1">G44+_xlfn.SWITCH(M44,"Este", 1, "Oeste",-1, 0)*O44</f>
        <v>-10</v>
      </c>
      <c r="Q44" cm="1">
        <f t="array" aca="1" ref="Q44" ca="1">H44+_xlfn.SWITCH(M44,"Norte", 1, "Sur",-1, 0)*O44</f>
        <v>0</v>
      </c>
      <c r="R44" t="str">
        <f t="shared" ca="1" si="18"/>
        <v>Centro</v>
      </c>
      <c r="S44" s="4">
        <f t="shared" ca="1" si="19"/>
        <v>0.35367799203297612</v>
      </c>
      <c r="T44" t="str" cm="1">
        <f t="array" aca="1" ref="T44" ca="1">+_xlfn.SWITCH(R44,"Norte",LOOKUP(S44,$K$2:$K$3,$I$2:$I$3),"Centro",LOOKUP(S44,$K$6:$K$7,$I$6:$I$7),LOOKUP(S44,$K$10:$K$11,$I$10:$I$11))</f>
        <v>SI</v>
      </c>
      <c r="U44" s="4">
        <f t="shared" ca="1" si="20"/>
        <v>0.5950734891923507</v>
      </c>
      <c r="V44" t="str">
        <f t="shared" ca="1" si="21"/>
        <v>Sur</v>
      </c>
      <c r="W44" s="4">
        <f t="shared" ca="1" si="22"/>
        <v>0.20072030625514414</v>
      </c>
      <c r="X44">
        <f t="shared" ca="1" si="23"/>
        <v>20</v>
      </c>
      <c r="Y44" cm="1">
        <f t="array" aca="1" ref="Y44" ca="1">P44+_xlfn.SWITCH(V44,"Este", 1, "Oeste",-1, 0)*X44</f>
        <v>-10</v>
      </c>
      <c r="Z44" cm="1">
        <f t="array" aca="1" ref="Z44" ca="1">Q44+_xlfn.SWITCH(V44,"Norte", 1, "Sur",-1, 0)*X44</f>
        <v>-20</v>
      </c>
      <c r="AA44" t="str">
        <f t="shared" ca="1" si="24"/>
        <v>Sur</v>
      </c>
      <c r="AB44" s="4">
        <f t="shared" ca="1" si="25"/>
        <v>0.34712755204980916</v>
      </c>
      <c r="AC44" t="str" cm="1">
        <f t="array" aca="1" ref="AC44" ca="1">+_xlfn.SWITCH(AA44,"Norte",LOOKUP(AB44,$K$2:$K$3,$I$2:$I$3),"Centro",LOOKUP(AB44,$K$6:$K$7,$I$6:$I$7),LOOKUP(AB44,$K$10:$K$11,$I$10:$I$11))</f>
        <v>SI</v>
      </c>
      <c r="AD44">
        <f t="shared" ca="1" si="26"/>
        <v>3</v>
      </c>
      <c r="AE44">
        <f t="shared" ca="1" si="27"/>
        <v>19</v>
      </c>
    </row>
    <row r="45" spans="2:31" x14ac:dyDescent="0.25">
      <c r="B45">
        <f t="shared" si="7"/>
        <v>31</v>
      </c>
      <c r="C45" s="4">
        <f t="shared" ca="1" si="8"/>
        <v>0.85536593262652771</v>
      </c>
      <c r="D45" t="str">
        <f t="shared" ca="1" si="9"/>
        <v>Oeste</v>
      </c>
      <c r="E45" s="4">
        <f t="shared" ca="1" si="10"/>
        <v>0.18975027097012331</v>
      </c>
      <c r="F45">
        <f t="shared" ca="1" si="11"/>
        <v>20</v>
      </c>
      <c r="G45" cm="1">
        <f t="array" aca="1" ref="G45" ca="1">+_xlfn.SWITCH(D45,"Este", 1, "Oeste",-1, 0)*F45</f>
        <v>-20</v>
      </c>
      <c r="H45" cm="1">
        <f t="array" aca="1" ref="H45" ca="1">+_xlfn.SWITCH(D45,"Norte", 1, "Sur",-1, 0)*F45</f>
        <v>0</v>
      </c>
      <c r="I45" t="str">
        <f t="shared" ca="1" si="12"/>
        <v>Centro</v>
      </c>
      <c r="J45" s="4">
        <f t="shared" ca="1" si="13"/>
        <v>0.84054979760538417</v>
      </c>
      <c r="K45" t="str" cm="1">
        <f t="array" aca="1" ref="K45" ca="1">+_xlfn.SWITCH(I45,"Norte",LOOKUP(J45,$K$2:$K$3,$I$2:$I$3),"Centro",LOOKUP(J45,$K$6:$K$7,$I$6:$I$7),LOOKUP(J45,$K$10:$K$11,$I$10:$I$11))</f>
        <v>NO</v>
      </c>
      <c r="L45" s="4">
        <f t="shared" ca="1" si="14"/>
        <v>0.40714947192088713</v>
      </c>
      <c r="M45" t="str">
        <f t="shared" ca="1" si="15"/>
        <v>Sur</v>
      </c>
      <c r="N45" s="4">
        <f t="shared" ca="1" si="16"/>
        <v>7.4012985371834872E-2</v>
      </c>
      <c r="O45">
        <f t="shared" ca="1" si="17"/>
        <v>20</v>
      </c>
      <c r="P45" cm="1">
        <f t="array" aca="1" ref="P45" ca="1">G45+_xlfn.SWITCH(M45,"Este", 1, "Oeste",-1, 0)*O45</f>
        <v>-20</v>
      </c>
      <c r="Q45" cm="1">
        <f t="array" aca="1" ref="Q45" ca="1">H45+_xlfn.SWITCH(M45,"Norte", 1, "Sur",-1, 0)*O45</f>
        <v>-20</v>
      </c>
      <c r="R45" t="str">
        <f t="shared" ca="1" si="18"/>
        <v>Sur</v>
      </c>
      <c r="S45" s="4">
        <f t="shared" ca="1" si="19"/>
        <v>8.1322626685666255E-2</v>
      </c>
      <c r="T45" t="str" cm="1">
        <f t="array" aca="1" ref="T45" ca="1">+_xlfn.SWITCH(R45,"Norte",LOOKUP(S45,$K$2:$K$3,$I$2:$I$3),"Centro",LOOKUP(S45,$K$6:$K$7,$I$6:$I$7),LOOKUP(S45,$K$10:$K$11,$I$10:$I$11))</f>
        <v>SI</v>
      </c>
      <c r="U45" s="4">
        <f t="shared" ca="1" si="20"/>
        <v>0.12727142111241385</v>
      </c>
      <c r="V45" t="str">
        <f t="shared" ca="1" si="21"/>
        <v>Norte</v>
      </c>
      <c r="W45" s="4">
        <f t="shared" ca="1" si="22"/>
        <v>0.96280958588082977</v>
      </c>
      <c r="X45">
        <f t="shared" ca="1" si="23"/>
        <v>50</v>
      </c>
      <c r="Y45" cm="1">
        <f t="array" aca="1" ref="Y45" ca="1">P45+_xlfn.SWITCH(V45,"Este", 1, "Oeste",-1, 0)*X45</f>
        <v>-20</v>
      </c>
      <c r="Z45" cm="1">
        <f t="array" aca="1" ref="Z45" ca="1">Q45+_xlfn.SWITCH(V45,"Norte", 1, "Sur",-1, 0)*X45</f>
        <v>30</v>
      </c>
      <c r="AA45" t="str">
        <f t="shared" ca="1" si="24"/>
        <v>Norte</v>
      </c>
      <c r="AB45" s="4">
        <f t="shared" ca="1" si="25"/>
        <v>0.79603588949945459</v>
      </c>
      <c r="AC45" t="str" cm="1">
        <f t="array" aca="1" ref="AC45" ca="1">+_xlfn.SWITCH(AA45,"Norte",LOOKUP(AB45,$K$2:$K$3,$I$2:$I$3),"Centro",LOOKUP(AB45,$K$6:$K$7,$I$6:$I$7),LOOKUP(AB45,$K$10:$K$11,$I$10:$I$11))</f>
        <v>NO</v>
      </c>
      <c r="AD45">
        <f t="shared" ca="1" si="26"/>
        <v>1</v>
      </c>
      <c r="AE45">
        <f t="shared" ca="1" si="27"/>
        <v>19</v>
      </c>
    </row>
    <row r="46" spans="2:31" x14ac:dyDescent="0.25">
      <c r="B46">
        <f t="shared" si="7"/>
        <v>32</v>
      </c>
      <c r="C46" s="4">
        <f t="shared" ca="1" si="8"/>
        <v>9.4023747824857784E-2</v>
      </c>
      <c r="D46" t="str">
        <f t="shared" ca="1" si="9"/>
        <v>Norte</v>
      </c>
      <c r="E46" s="4">
        <f t="shared" ca="1" si="10"/>
        <v>0.87724412182872713</v>
      </c>
      <c r="F46">
        <f t="shared" ca="1" si="11"/>
        <v>50</v>
      </c>
      <c r="G46" cm="1">
        <f t="array" aca="1" ref="G46" ca="1">+_xlfn.SWITCH(D46,"Este", 1, "Oeste",-1, 0)*F46</f>
        <v>0</v>
      </c>
      <c r="H46" cm="1">
        <f t="array" aca="1" ref="H46" ca="1">+_xlfn.SWITCH(D46,"Norte", 1, "Sur",-1, 0)*F46</f>
        <v>50</v>
      </c>
      <c r="I46" t="str">
        <f t="shared" ca="1" si="12"/>
        <v>Norte</v>
      </c>
      <c r="J46" s="4">
        <f t="shared" ca="1" si="13"/>
        <v>2.9399521835294151E-2</v>
      </c>
      <c r="K46" t="str" cm="1">
        <f t="array" aca="1" ref="K46" ca="1">+_xlfn.SWITCH(I46,"Norte",LOOKUP(J46,$K$2:$K$3,$I$2:$I$3),"Centro",LOOKUP(J46,$K$6:$K$7,$I$6:$I$7),LOOKUP(J46,$K$10:$K$11,$I$10:$I$11))</f>
        <v>SI</v>
      </c>
      <c r="L46" s="4">
        <f t="shared" ca="1" si="14"/>
        <v>4.8665105260906616E-3</v>
      </c>
      <c r="M46" t="str">
        <f t="shared" ca="1" si="15"/>
        <v>Norte</v>
      </c>
      <c r="N46" s="4">
        <f t="shared" ca="1" si="16"/>
        <v>0.97551616346993975</v>
      </c>
      <c r="O46">
        <f t="shared" ca="1" si="17"/>
        <v>50</v>
      </c>
      <c r="P46" cm="1">
        <f t="array" aca="1" ref="P46" ca="1">G46+_xlfn.SWITCH(M46,"Este", 1, "Oeste",-1, 0)*O46</f>
        <v>0</v>
      </c>
      <c r="Q46" cm="1">
        <f t="array" aca="1" ref="Q46" ca="1">H46+_xlfn.SWITCH(M46,"Norte", 1, "Sur",-1, 0)*O46</f>
        <v>100</v>
      </c>
      <c r="R46" t="str">
        <f t="shared" ca="1" si="18"/>
        <v>Norte</v>
      </c>
      <c r="S46" s="4">
        <f t="shared" ca="1" si="19"/>
        <v>0.64772396909739682</v>
      </c>
      <c r="T46" t="str" cm="1">
        <f t="array" aca="1" ref="T46" ca="1">+_xlfn.SWITCH(R46,"Norte",LOOKUP(S46,$K$2:$K$3,$I$2:$I$3),"Centro",LOOKUP(S46,$K$6:$K$7,$I$6:$I$7),LOOKUP(S46,$K$10:$K$11,$I$10:$I$11))</f>
        <v>SI</v>
      </c>
      <c r="U46" s="4">
        <f t="shared" ca="1" si="20"/>
        <v>0.97635715940328205</v>
      </c>
      <c r="V46" t="str">
        <f t="shared" ca="1" si="21"/>
        <v>Oeste</v>
      </c>
      <c r="W46" s="4">
        <f t="shared" ca="1" si="22"/>
        <v>0.81121232182547065</v>
      </c>
      <c r="X46">
        <f t="shared" ca="1" si="23"/>
        <v>50</v>
      </c>
      <c r="Y46" cm="1">
        <f t="array" aca="1" ref="Y46" ca="1">P46+_xlfn.SWITCH(V46,"Este", 1, "Oeste",-1, 0)*X46</f>
        <v>-50</v>
      </c>
      <c r="Z46" cm="1">
        <f t="array" aca="1" ref="Z46" ca="1">Q46+_xlfn.SWITCH(V46,"Norte", 1, "Sur",-1, 0)*X46</f>
        <v>100</v>
      </c>
      <c r="AA46" t="str">
        <f t="shared" ca="1" si="24"/>
        <v>Norte</v>
      </c>
      <c r="AB46" s="4">
        <f t="shared" ca="1" si="25"/>
        <v>0.96026581700308455</v>
      </c>
      <c r="AC46" t="str" cm="1">
        <f t="array" aca="1" ref="AC46" ca="1">+_xlfn.SWITCH(AA46,"Norte",LOOKUP(AB46,$K$2:$K$3,$I$2:$I$3),"Centro",LOOKUP(AB46,$K$6:$K$7,$I$6:$I$7),LOOKUP(AB46,$K$10:$K$11,$I$10:$I$11))</f>
        <v>NO</v>
      </c>
      <c r="AD46">
        <f t="shared" ca="1" si="26"/>
        <v>2</v>
      </c>
      <c r="AE46">
        <f t="shared" ca="1" si="27"/>
        <v>20</v>
      </c>
    </row>
  </sheetData>
  <mergeCells count="5">
    <mergeCell ref="N5:Q6"/>
    <mergeCell ref="B13:B14"/>
    <mergeCell ref="C13:K13"/>
    <mergeCell ref="L13:T13"/>
    <mergeCell ref="U13:A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Andrés Malamud</dc:creator>
  <cp:lastModifiedBy>Tomás Andrés Malamud</cp:lastModifiedBy>
  <dcterms:created xsi:type="dcterms:W3CDTF">2024-07-23T22:27:20Z</dcterms:created>
  <dcterms:modified xsi:type="dcterms:W3CDTF">2024-07-23T23:09:46Z</dcterms:modified>
</cp:coreProperties>
</file>