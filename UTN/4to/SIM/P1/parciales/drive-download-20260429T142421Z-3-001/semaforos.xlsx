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malamud/Documents/tomi/UTN/SIM/ejercicios/parcial 1/"/>
    </mc:Choice>
  </mc:AlternateContent>
  <xr:revisionPtr revIDLastSave="0" documentId="13_ncr:1_{86E97A98-708E-6046-A6C8-FBF48A7612B0}" xr6:coauthVersionLast="47" xr6:coauthVersionMax="47" xr10:uidLastSave="{00000000-0000-0000-0000-000000000000}"/>
  <bookViews>
    <workbookView xWindow="0" yWindow="0" windowWidth="25600" windowHeight="16000" xr2:uid="{ABEAE72C-991F-B44C-A1E0-87642F371C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A10" i="1" l="1"/>
  <c r="A11" i="1" s="1"/>
  <c r="A12" i="1" s="1"/>
  <c r="A13" i="1" s="1"/>
  <c r="A14" i="1" s="1"/>
  <c r="A15" i="1" s="1"/>
  <c r="A16" i="1" s="1"/>
  <c r="A17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C8" i="1" a="1"/>
  <c r="C8" i="1" s="1"/>
  <c r="E8" i="1" s="1"/>
  <c r="H8" i="1" s="1"/>
  <c r="I8" i="1" s="1"/>
  <c r="A9" i="1"/>
  <c r="N2" i="1"/>
  <c r="M3" i="1" s="1"/>
  <c r="N3" i="1" s="1"/>
  <c r="I2" i="1"/>
  <c r="H3" i="1" s="1"/>
  <c r="I3" i="1" s="1"/>
  <c r="C4" i="1"/>
  <c r="D4" i="1" s="1"/>
  <c r="D3" i="1"/>
  <c r="C3" i="1"/>
  <c r="D2" i="1"/>
  <c r="J8" i="1" l="1"/>
  <c r="M12" i="1"/>
  <c r="I9" i="1"/>
  <c r="I10" i="1" s="1"/>
  <c r="I11" i="1" s="1"/>
  <c r="I12" i="1" s="1"/>
  <c r="I13" i="1" s="1"/>
  <c r="I14" i="1" s="1"/>
  <c r="I15" i="1" s="1"/>
  <c r="I16" i="1" s="1"/>
  <c r="I17" i="1" s="1"/>
  <c r="M9" i="1" s="1"/>
  <c r="K8" i="1" l="1"/>
  <c r="J9" i="1"/>
  <c r="K9" i="1" l="1"/>
  <c r="J10" i="1"/>
  <c r="J11" i="1" l="1"/>
  <c r="K10" i="1"/>
  <c r="J12" i="1" l="1"/>
  <c r="K11" i="1"/>
  <c r="J13" i="1" l="1"/>
  <c r="K12" i="1"/>
  <c r="J14" i="1" l="1"/>
  <c r="K13" i="1"/>
  <c r="J15" i="1" l="1"/>
  <c r="K14" i="1"/>
  <c r="J16" i="1" l="1"/>
  <c r="K15" i="1"/>
  <c r="J17" i="1" l="1"/>
  <c r="K17" i="1" s="1"/>
  <c r="K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<sst xmlns="http://schemas.openxmlformats.org/spreadsheetml/2006/main" count="34" uniqueCount="23">
  <si>
    <t>Estado</t>
  </si>
  <si>
    <t>P</t>
  </si>
  <si>
    <t>Desde</t>
  </si>
  <si>
    <t>Hasta</t>
  </si>
  <si>
    <t>Verde</t>
  </si>
  <si>
    <t>Amarillo</t>
  </si>
  <si>
    <t>Rojo</t>
  </si>
  <si>
    <t>Se detiene</t>
  </si>
  <si>
    <t>No se detiene</t>
  </si>
  <si>
    <t>Espera</t>
  </si>
  <si>
    <t>Experimento</t>
  </si>
  <si>
    <t>rnd_estado</t>
  </si>
  <si>
    <t>estado</t>
  </si>
  <si>
    <t>rnd_detencion</t>
  </si>
  <si>
    <t>detencion</t>
  </si>
  <si>
    <t>rnd_tiempodet</t>
  </si>
  <si>
    <t>tiempodet</t>
  </si>
  <si>
    <t>tiempo total</t>
  </si>
  <si>
    <t>menos_200</t>
  </si>
  <si>
    <t>Probabilidad menos 200</t>
  </si>
  <si>
    <t>Tiempo promedio</t>
  </si>
  <si>
    <t>tiempo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</si>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</sst>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7D63-E036-1547-8305-30D31B0CC05B}">
  <dimension ref="A1:N17"/>
  <sheetViews>
    <sheetView tabSelected="1" workbookViewId="0">
      <selection activeCell="L21" sqref="L21"/>
    </sheetView>
  </sheetViews>
  <sheetFormatPr baseColWidth="10" defaultRowHeight="19" x14ac:dyDescent="0.25"/>
  <cols>
    <col min="1" max="1" width="11.28515625" bestFit="1" customWidth="1"/>
    <col min="2" max="2" width="10" bestFit="1" customWidth="1"/>
    <col min="3" max="3" width="7.42578125" bestFit="1" customWidth="1"/>
    <col min="4" max="4" width="12.7109375" bestFit="1" customWidth="1"/>
    <col min="5" max="5" width="12" bestFit="1" customWidth="1"/>
    <col min="6" max="6" width="12.85546875" bestFit="1" customWidth="1"/>
    <col min="7" max="7" width="9.28515625" bestFit="1" customWidth="1"/>
    <col min="8" max="8" width="7" bestFit="1" customWidth="1"/>
    <col min="9" max="9" width="10.28515625" bestFit="1" customWidth="1"/>
    <col min="10" max="10" width="10.85546875" bestFit="1" customWidth="1"/>
    <col min="11" max="11" width="12" bestFit="1" customWidth="1"/>
    <col min="12" max="12" width="6.5703125" bestFit="1" customWidth="1"/>
    <col min="13" max="13" width="20.28515625" bestFit="1" customWidth="1"/>
    <col min="14" max="14" width="5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5</v>
      </c>
      <c r="G1" s="1" t="s">
        <v>1</v>
      </c>
      <c r="H1" s="1" t="s">
        <v>2</v>
      </c>
      <c r="I1" s="1" t="s">
        <v>3</v>
      </c>
      <c r="J1" s="1"/>
      <c r="K1" s="1" t="s">
        <v>6</v>
      </c>
      <c r="L1" s="1" t="s">
        <v>1</v>
      </c>
      <c r="M1" s="1" t="s">
        <v>2</v>
      </c>
      <c r="N1" s="1" t="s">
        <v>3</v>
      </c>
    </row>
    <row r="2" spans="1:14" x14ac:dyDescent="0.25">
      <c r="A2" s="2" t="s">
        <v>4</v>
      </c>
      <c r="B2">
        <v>0.5</v>
      </c>
      <c r="C2">
        <v>0</v>
      </c>
      <c r="D2">
        <f>+B2+C2</f>
        <v>0.5</v>
      </c>
      <c r="F2" t="s">
        <v>7</v>
      </c>
      <c r="G2">
        <v>0.6</v>
      </c>
      <c r="H2">
        <v>0</v>
      </c>
      <c r="I2">
        <f>+G2+H2</f>
        <v>0.6</v>
      </c>
      <c r="K2" t="s">
        <v>7</v>
      </c>
      <c r="L2">
        <v>0.8</v>
      </c>
      <c r="M2">
        <v>0</v>
      </c>
      <c r="N2">
        <f>+L2+M2</f>
        <v>0.8</v>
      </c>
    </row>
    <row r="3" spans="1:14" x14ac:dyDescent="0.25">
      <c r="A3" s="2" t="s">
        <v>5</v>
      </c>
      <c r="B3">
        <v>0.05</v>
      </c>
      <c r="C3">
        <f>+D2</f>
        <v>0.5</v>
      </c>
      <c r="D3">
        <f t="shared" ref="D3:D4" si="0">+B3+C3</f>
        <v>0.55000000000000004</v>
      </c>
      <c r="F3" t="s">
        <v>8</v>
      </c>
      <c r="G3">
        <v>0.4</v>
      </c>
      <c r="H3">
        <f>+I2</f>
        <v>0.6</v>
      </c>
      <c r="I3">
        <f t="shared" ref="I3" si="1">+G3+H3</f>
        <v>1</v>
      </c>
      <c r="K3" t="s">
        <v>8</v>
      </c>
      <c r="L3">
        <v>0.2</v>
      </c>
      <c r="M3">
        <f>+N2</f>
        <v>0.8</v>
      </c>
      <c r="N3">
        <f t="shared" ref="N3" si="2">+L3+M3</f>
        <v>1</v>
      </c>
    </row>
    <row r="4" spans="1:14" x14ac:dyDescent="0.25">
      <c r="A4" s="2" t="s">
        <v>6</v>
      </c>
      <c r="B4">
        <v>0.45</v>
      </c>
      <c r="C4">
        <f>+D3</f>
        <v>0.55000000000000004</v>
      </c>
      <c r="D4">
        <f t="shared" si="0"/>
        <v>1</v>
      </c>
    </row>
    <row r="5" spans="1:14" x14ac:dyDescent="0.25">
      <c r="G5" s="1" t="s">
        <v>9</v>
      </c>
      <c r="H5">
        <v>1</v>
      </c>
      <c r="I5">
        <v>3</v>
      </c>
      <c r="L5" s="1" t="s">
        <v>9</v>
      </c>
      <c r="M5">
        <v>1</v>
      </c>
      <c r="N5">
        <v>45</v>
      </c>
    </row>
    <row r="7" spans="1:14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21</v>
      </c>
      <c r="I7" s="1" t="s">
        <v>18</v>
      </c>
      <c r="J7" s="1" t="s">
        <v>17</v>
      </c>
      <c r="K7" s="1" t="s">
        <v>22</v>
      </c>
    </row>
    <row r="8" spans="1:14" x14ac:dyDescent="0.25">
      <c r="A8">
        <v>1</v>
      </c>
      <c r="B8">
        <v>0.6</v>
      </c>
      <c r="C8" t="str" cm="1">
        <f t="array" ref="C8:C17">+LOOKUP(B8:B17,C2:C4,A2:A4)</f>
        <v>Rojo</v>
      </c>
      <c r="D8">
        <v>0.91</v>
      </c>
      <c r="E8" t="str">
        <f>+IF(C8="Amarillo",LOOKUP(D8,$H$2:$H$3,$F$2:$F$3),IF(C8="Rojo",LOOKUP(D8,$M$2:$M$3,$K$2:$K$3), "No se detiene"))</f>
        <v>No se detiene</v>
      </c>
      <c r="G8">
        <f>IF(E8="Se detiene",IF(C8="Rojo",$M$5+F8*($N$5-$M$5),IF(C8="Amarillo",$H$5+F8*($I$5-$H$5)+$N$5,"")),0)</f>
        <v>0</v>
      </c>
      <c r="H8">
        <f>+G8+60*3</f>
        <v>180</v>
      </c>
      <c r="I8">
        <f>--(H8&lt;=200)</f>
        <v>1</v>
      </c>
      <c r="J8">
        <f>+H8</f>
        <v>180</v>
      </c>
      <c r="K8" s="3">
        <f>+J8/A8</f>
        <v>180</v>
      </c>
      <c r="M8" t="s">
        <v>19</v>
      </c>
    </row>
    <row r="9" spans="1:14" x14ac:dyDescent="0.25">
      <c r="A9">
        <f>+A8+1</f>
        <v>2</v>
      </c>
      <c r="B9">
        <v>0.39</v>
      </c>
      <c r="C9" t="str">
        <v>Verde</v>
      </c>
      <c r="D9">
        <v>0.83</v>
      </c>
      <c r="E9" t="str">
        <f t="shared" ref="E9:E17" si="3">+IF(C9="Amarillo",LOOKUP(D9,$H$2:$H$3,$F$2:$F$3),IF(C9="Rojo",LOOKUP(D9,$M$2:$M$3,$K$2:$K$3), "No se detiene"))</f>
        <v>No se detiene</v>
      </c>
      <c r="G9">
        <f t="shared" ref="G9:G17" si="4">IF(E9="Se detiene",IF(C9="Rojo",$M$5+F9*($N$5-$M$5),IF(C9="Amarillo",$H$5+F9*($I$5-$H$5)+$N$5,"")),0)</f>
        <v>0</v>
      </c>
      <c r="H9">
        <f>+G9+60*3</f>
        <v>180</v>
      </c>
      <c r="I9">
        <f>--(H9&lt;=200)+I8</f>
        <v>2</v>
      </c>
      <c r="J9">
        <f>+J8+H9</f>
        <v>360</v>
      </c>
      <c r="K9" s="3">
        <f t="shared" ref="K9:K17" si="5">+J9/A9</f>
        <v>180</v>
      </c>
      <c r="M9" s="1" t="str">
        <f>+I17/A17*100 &amp; "%"</f>
        <v>60%</v>
      </c>
    </row>
    <row r="10" spans="1:14" x14ac:dyDescent="0.25">
      <c r="A10">
        <f t="shared" ref="A10:A17" si="6">+A9+1</f>
        <v>3</v>
      </c>
      <c r="B10">
        <v>0.75</v>
      </c>
      <c r="C10" t="str">
        <v>Rojo</v>
      </c>
      <c r="D10">
        <v>0.44</v>
      </c>
      <c r="E10" t="str">
        <f t="shared" si="3"/>
        <v>Se detiene</v>
      </c>
      <c r="F10">
        <v>0.81</v>
      </c>
      <c r="G10">
        <f t="shared" si="4"/>
        <v>36.64</v>
      </c>
      <c r="H10">
        <f t="shared" ref="H10:H17" si="7">+G10+60*3</f>
        <v>216.64</v>
      </c>
      <c r="I10">
        <f t="shared" ref="I10:I17" si="8">--(H10&lt;=200)+I9</f>
        <v>2</v>
      </c>
      <c r="J10">
        <f t="shared" ref="J10:J17" si="9">+J9+H10</f>
        <v>576.64</v>
      </c>
      <c r="K10" s="3">
        <f t="shared" si="5"/>
        <v>192.21333333333334</v>
      </c>
    </row>
    <row r="11" spans="1:14" x14ac:dyDescent="0.25">
      <c r="A11">
        <f t="shared" si="6"/>
        <v>4</v>
      </c>
      <c r="B11">
        <v>0.52</v>
      </c>
      <c r="C11" t="str">
        <v>Amarillo</v>
      </c>
      <c r="D11">
        <v>0.83</v>
      </c>
      <c r="E11" t="str">
        <f t="shared" si="3"/>
        <v>No se detiene</v>
      </c>
      <c r="G11">
        <f t="shared" si="4"/>
        <v>0</v>
      </c>
      <c r="H11">
        <f t="shared" si="7"/>
        <v>180</v>
      </c>
      <c r="I11">
        <f t="shared" si="8"/>
        <v>3</v>
      </c>
      <c r="J11">
        <f t="shared" si="9"/>
        <v>756.64</v>
      </c>
      <c r="K11" s="3">
        <f t="shared" si="5"/>
        <v>189.16</v>
      </c>
      <c r="M11" t="s">
        <v>20</v>
      </c>
    </row>
    <row r="12" spans="1:14" x14ac:dyDescent="0.25">
      <c r="A12">
        <f t="shared" si="6"/>
        <v>5</v>
      </c>
      <c r="B12">
        <v>0.53</v>
      </c>
      <c r="C12" t="str">
        <v>Amarillo</v>
      </c>
      <c r="D12">
        <v>0.15</v>
      </c>
      <c r="E12" t="str">
        <f t="shared" si="3"/>
        <v>Se detiene</v>
      </c>
      <c r="F12">
        <v>0.26</v>
      </c>
      <c r="G12">
        <f t="shared" si="4"/>
        <v>46.52</v>
      </c>
      <c r="H12">
        <f t="shared" si="7"/>
        <v>226.52</v>
      </c>
      <c r="I12">
        <f t="shared" si="8"/>
        <v>3</v>
      </c>
      <c r="J12">
        <f t="shared" si="9"/>
        <v>983.16</v>
      </c>
      <c r="K12" s="3">
        <f t="shared" si="5"/>
        <v>196.63200000000001</v>
      </c>
      <c r="M12" s="4">
        <f>+AVERAGE(H8:H17)</f>
        <v>195.44800000000001</v>
      </c>
    </row>
    <row r="13" spans="1:14" x14ac:dyDescent="0.25">
      <c r="A13">
        <f t="shared" si="6"/>
        <v>6</v>
      </c>
      <c r="B13">
        <v>0.8</v>
      </c>
      <c r="C13" t="str">
        <v>Rojo</v>
      </c>
      <c r="D13">
        <v>0.73</v>
      </c>
      <c r="E13" t="str">
        <f t="shared" si="3"/>
        <v>Se detiene</v>
      </c>
      <c r="F13">
        <v>0.05</v>
      </c>
      <c r="G13">
        <f t="shared" si="4"/>
        <v>3.2</v>
      </c>
      <c r="H13">
        <f t="shared" si="7"/>
        <v>183.2</v>
      </c>
      <c r="I13">
        <f t="shared" si="8"/>
        <v>4</v>
      </c>
      <c r="J13">
        <f t="shared" si="9"/>
        <v>1166.3599999999999</v>
      </c>
      <c r="K13" s="3">
        <f t="shared" si="5"/>
        <v>194.39333333333332</v>
      </c>
    </row>
    <row r="14" spans="1:14" x14ac:dyDescent="0.25">
      <c r="A14">
        <f t="shared" si="6"/>
        <v>7</v>
      </c>
      <c r="B14">
        <v>0.32</v>
      </c>
      <c r="C14" t="str">
        <v>Verde</v>
      </c>
      <c r="D14">
        <v>0.93</v>
      </c>
      <c r="E14" t="str">
        <f t="shared" si="3"/>
        <v>No se detiene</v>
      </c>
      <c r="G14">
        <f t="shared" si="4"/>
        <v>0</v>
      </c>
      <c r="H14">
        <f t="shared" si="7"/>
        <v>180</v>
      </c>
      <c r="I14">
        <f t="shared" si="8"/>
        <v>5</v>
      </c>
      <c r="J14">
        <f t="shared" si="9"/>
        <v>1346.36</v>
      </c>
      <c r="K14" s="3">
        <f t="shared" si="5"/>
        <v>192.33714285714285</v>
      </c>
    </row>
    <row r="15" spans="1:14" x14ac:dyDescent="0.25">
      <c r="A15">
        <f t="shared" si="6"/>
        <v>8</v>
      </c>
      <c r="B15">
        <v>0.45</v>
      </c>
      <c r="C15" t="str">
        <v>Verde</v>
      </c>
      <c r="D15">
        <v>0.01</v>
      </c>
      <c r="E15" t="str">
        <f t="shared" si="3"/>
        <v>No se detiene</v>
      </c>
      <c r="G15">
        <f t="shared" si="4"/>
        <v>0</v>
      </c>
      <c r="H15">
        <f t="shared" si="7"/>
        <v>180</v>
      </c>
      <c r="I15">
        <f t="shared" si="8"/>
        <v>6</v>
      </c>
      <c r="J15">
        <f t="shared" si="9"/>
        <v>1526.36</v>
      </c>
      <c r="K15" s="3">
        <f t="shared" si="5"/>
        <v>190.79499999999999</v>
      </c>
    </row>
    <row r="16" spans="1:14" x14ac:dyDescent="0.25">
      <c r="A16">
        <f t="shared" si="6"/>
        <v>9</v>
      </c>
      <c r="B16">
        <v>0.51</v>
      </c>
      <c r="C16" t="str">
        <v>Amarillo</v>
      </c>
      <c r="D16">
        <v>0.33</v>
      </c>
      <c r="E16" t="str">
        <f t="shared" si="3"/>
        <v>Se detiene</v>
      </c>
      <c r="F16">
        <v>0.88</v>
      </c>
      <c r="G16">
        <f t="shared" si="4"/>
        <v>47.76</v>
      </c>
      <c r="H16">
        <f t="shared" si="7"/>
        <v>227.76</v>
      </c>
      <c r="I16">
        <f t="shared" si="8"/>
        <v>6</v>
      </c>
      <c r="J16">
        <f t="shared" si="9"/>
        <v>1754.12</v>
      </c>
      <c r="K16" s="3">
        <f t="shared" si="5"/>
        <v>194.90222222222221</v>
      </c>
    </row>
    <row r="17" spans="1:11" x14ac:dyDescent="0.25">
      <c r="A17">
        <f t="shared" si="6"/>
        <v>10</v>
      </c>
      <c r="B17">
        <v>0.96</v>
      </c>
      <c r="C17" t="str">
        <v>Rojo</v>
      </c>
      <c r="D17">
        <v>0.26</v>
      </c>
      <c r="E17" t="str">
        <f t="shared" si="3"/>
        <v>Se detiene</v>
      </c>
      <c r="F17">
        <v>0.44</v>
      </c>
      <c r="G17">
        <f t="shared" si="4"/>
        <v>20.36</v>
      </c>
      <c r="H17">
        <f t="shared" si="7"/>
        <v>200.36</v>
      </c>
      <c r="I17">
        <f t="shared" si="8"/>
        <v>6</v>
      </c>
      <c r="J17">
        <f t="shared" si="9"/>
        <v>1954.48</v>
      </c>
      <c r="K17" s="3">
        <f t="shared" si="5"/>
        <v>195.44800000000001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Andrés Malamud</dc:creator>
  <cp:lastModifiedBy>Tomás Andrés Malamud</cp:lastModifiedBy>
  <dcterms:created xsi:type="dcterms:W3CDTF">2024-07-23T23:10:31Z</dcterms:created>
  <dcterms:modified xsi:type="dcterms:W3CDTF">2024-07-24T02:10:16Z</dcterms:modified>
</cp:coreProperties>
</file>