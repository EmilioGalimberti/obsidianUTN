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versidades\Utn Cba\Simulacion Cba\Coordinación de catedra\Simulacion 2023\"/>
    </mc:Choice>
  </mc:AlternateContent>
  <xr:revisionPtr revIDLastSave="0" documentId="13_ncr:1_{2D963515-2C2F-44E8-AC4F-A2D6136E4BCD}" xr6:coauthVersionLast="46" xr6:coauthVersionMax="47" xr10:uidLastSave="{00000000-0000-0000-0000-000000000000}"/>
  <bookViews>
    <workbookView xWindow="-108" yWindow="-108" windowWidth="23256" windowHeight="12456" tabRatio="207" xr2:uid="{00000000-000D-0000-FFFF-FFFF00000000}"/>
  </bookViews>
  <sheets>
    <sheet name="Dron - Primer turno" sheetId="1" r:id="rId1"/>
  </sheets>
  <definedNames>
    <definedName name="Acierto_C">'Dron - Primer turno'!$U$4:$U$5</definedName>
    <definedName name="Acierto_N">'Dron - Primer turno'!$S$4:$S$5</definedName>
    <definedName name="Acierto_S">'Dron - Primer turno'!$W$4:$W$5</definedName>
    <definedName name="Direccion">'Dron - Primer turno'!$A$4:$A$7</definedName>
    <definedName name="este">'Dron - Primer turno'!$B$6</definedName>
    <definedName name="L_inferior">'Dron - Primer turno'!$C$4:$C$7</definedName>
    <definedName name="L_longitud">'Dron - Primer turno'!$N$4:$N$6</definedName>
    <definedName name="Longitud">'Dron - Primer turno'!$L$4:$L$6</definedName>
    <definedName name="Mov_X">'Dron - Primer turno'!$E$4:$E$7</definedName>
    <definedName name="Mov_Y">'Dron - Primer turno'!$F$4:$F$7</definedName>
    <definedName name="Movim">'Dron - Primer turno'!$J$3</definedName>
    <definedName name="norte">'Dron - Primer turno'!$B$4</definedName>
    <definedName name="oeste">'Dron - Primer turno'!$B$7</definedName>
    <definedName name="Si_No">'Dron - Primer turno'!$Q$4:$Q$5</definedName>
    <definedName name="sur">'Dron - Primer turno'!$B$5</definedName>
    <definedName name="X_inicial">'Dron - Primer turno'!$H$7</definedName>
    <definedName name="Y_inicial">'Dron - Primer turno'!$I$7</definedName>
  </definedNames>
  <calcPr calcId="181029" calcMode="manual"/>
</workbook>
</file>

<file path=xl/calcChain.xml><?xml version="1.0" encoding="utf-8"?>
<calcChain xmlns="http://schemas.openxmlformats.org/spreadsheetml/2006/main">
  <c r="AA13" i="1" l="1"/>
  <c r="AA14" i="1"/>
  <c r="AA15" i="1"/>
  <c r="AA16" i="1"/>
  <c r="AA17" i="1"/>
  <c r="AA18" i="1"/>
  <c r="AA19" i="1"/>
  <c r="AA20" i="1"/>
  <c r="AA21" i="1"/>
  <c r="AA12" i="1"/>
  <c r="R13" i="1"/>
  <c r="R14" i="1"/>
  <c r="R15" i="1"/>
  <c r="R16" i="1"/>
  <c r="R17" i="1"/>
  <c r="R18" i="1"/>
  <c r="R19" i="1"/>
  <c r="R20" i="1"/>
  <c r="R21" i="1"/>
  <c r="R12" i="1"/>
  <c r="B13" i="1"/>
  <c r="D13" i="1"/>
  <c r="I13" i="1"/>
  <c r="K13" i="1"/>
  <c r="M13" i="1"/>
  <c r="T13" i="1"/>
  <c r="V13" i="1"/>
  <c r="B14" i="1"/>
  <c r="D14" i="1"/>
  <c r="I14" i="1"/>
  <c r="K14" i="1"/>
  <c r="M14" i="1"/>
  <c r="T14" i="1"/>
  <c r="V14" i="1"/>
  <c r="B15" i="1"/>
  <c r="D15" i="1"/>
  <c r="I15" i="1"/>
  <c r="K15" i="1"/>
  <c r="M15" i="1"/>
  <c r="T15" i="1"/>
  <c r="V15" i="1"/>
  <c r="B16" i="1"/>
  <c r="D16" i="1"/>
  <c r="I16" i="1"/>
  <c r="K16" i="1"/>
  <c r="M16" i="1"/>
  <c r="T16" i="1"/>
  <c r="V16" i="1"/>
  <c r="B17" i="1"/>
  <c r="D17" i="1"/>
  <c r="I17" i="1"/>
  <c r="K17" i="1"/>
  <c r="M17" i="1"/>
  <c r="T17" i="1"/>
  <c r="V17" i="1"/>
  <c r="B18" i="1"/>
  <c r="D18" i="1"/>
  <c r="I18" i="1"/>
  <c r="K18" i="1"/>
  <c r="M18" i="1"/>
  <c r="B19" i="1"/>
  <c r="D19" i="1"/>
  <c r="I19" i="1"/>
  <c r="K19" i="1"/>
  <c r="M19" i="1"/>
  <c r="B20" i="1"/>
  <c r="D20" i="1"/>
  <c r="I20" i="1"/>
  <c r="K20" i="1"/>
  <c r="M20" i="1"/>
  <c r="B21" i="1"/>
  <c r="D21" i="1"/>
  <c r="I21" i="1"/>
  <c r="K21" i="1"/>
  <c r="M21" i="1"/>
  <c r="W5" i="1"/>
  <c r="U5" i="1"/>
  <c r="S5" i="1"/>
  <c r="O6" i="1"/>
  <c r="N5" i="1"/>
  <c r="O4" i="1" s="1"/>
  <c r="I12" i="1"/>
  <c r="T21" i="1"/>
  <c r="V21" i="1"/>
  <c r="T18" i="1"/>
  <c r="V18" i="1"/>
  <c r="T19" i="1"/>
  <c r="V19" i="1"/>
  <c r="T20" i="1"/>
  <c r="V20" i="1"/>
  <c r="V12" i="1"/>
  <c r="M12" i="1"/>
  <c r="D12" i="1"/>
  <c r="M8" i="1"/>
  <c r="N20" i="1" l="1"/>
  <c r="W16" i="1"/>
  <c r="N16" i="1"/>
  <c r="W14" i="1"/>
  <c r="E18" i="1"/>
  <c r="N6" i="1"/>
  <c r="O5" i="1" s="1"/>
  <c r="W20" i="1"/>
  <c r="W18" i="1"/>
  <c r="E16" i="1" l="1"/>
  <c r="E21" i="1"/>
  <c r="W13" i="1"/>
  <c r="N18" i="1"/>
  <c r="N15" i="1"/>
  <c r="N21" i="1"/>
  <c r="E15" i="1"/>
  <c r="W15" i="1"/>
  <c r="E14" i="1"/>
  <c r="N17" i="1"/>
  <c r="N19" i="1"/>
  <c r="E17" i="1"/>
  <c r="E20" i="1"/>
  <c r="E19" i="1"/>
  <c r="W17" i="1"/>
  <c r="N14" i="1"/>
  <c r="N13" i="1"/>
  <c r="E13" i="1"/>
  <c r="N12" i="1"/>
  <c r="W19" i="1"/>
  <c r="W12" i="1"/>
  <c r="W21" i="1"/>
  <c r="E12" i="1"/>
  <c r="T12" i="1" l="1"/>
  <c r="K12" i="1"/>
  <c r="C5" i="1" l="1"/>
  <c r="B12" i="1"/>
  <c r="B8" i="1"/>
  <c r="D4" i="1" l="1"/>
  <c r="C6" i="1"/>
  <c r="U13" i="1" l="1"/>
  <c r="C21" i="1"/>
  <c r="F21" i="1"/>
  <c r="G13" i="1"/>
  <c r="U16" i="1"/>
  <c r="D5" i="1"/>
  <c r="C7" i="1"/>
  <c r="G21" i="1" s="1"/>
  <c r="H21" i="1" s="1"/>
  <c r="J21" i="1" s="1"/>
  <c r="C13" i="1" l="1"/>
  <c r="F17" i="1"/>
  <c r="O17" i="1" s="1"/>
  <c r="X17" i="1" s="1"/>
  <c r="C17" i="1"/>
  <c r="U15" i="1"/>
  <c r="G17" i="1"/>
  <c r="H17" i="1" s="1"/>
  <c r="J17" i="1" s="1"/>
  <c r="C19" i="1"/>
  <c r="F19" i="1"/>
  <c r="O19" i="1" s="1"/>
  <c r="X19" i="1" s="1"/>
  <c r="L20" i="1"/>
  <c r="P21" i="1"/>
  <c r="Q21" i="1" s="1"/>
  <c r="S21" i="1" s="1"/>
  <c r="L13" i="1"/>
  <c r="O21" i="1"/>
  <c r="X21" i="1" s="1"/>
  <c r="L14" i="1"/>
  <c r="L17" i="1"/>
  <c r="L21" i="1"/>
  <c r="F13" i="1"/>
  <c r="O13" i="1" s="1"/>
  <c r="X13" i="1" s="1"/>
  <c r="G19" i="1"/>
  <c r="H19" i="1" s="1"/>
  <c r="J19" i="1" s="1"/>
  <c r="L19" i="1"/>
  <c r="C16" i="1"/>
  <c r="U14" i="1"/>
  <c r="G18" i="1"/>
  <c r="F18" i="1"/>
  <c r="O18" i="1" s="1"/>
  <c r="X18" i="1" s="1"/>
  <c r="C18" i="1"/>
  <c r="L15" i="1"/>
  <c r="F20" i="1"/>
  <c r="O20" i="1" s="1"/>
  <c r="X20" i="1" s="1"/>
  <c r="L18" i="1"/>
  <c r="P13" i="1"/>
  <c r="H13" i="1"/>
  <c r="J13" i="1" s="1"/>
  <c r="G15" i="1"/>
  <c r="G16" i="1"/>
  <c r="F16" i="1"/>
  <c r="O16" i="1" s="1"/>
  <c r="X16" i="1" s="1"/>
  <c r="C14" i="1"/>
  <c r="C20" i="1"/>
  <c r="U17" i="1"/>
  <c r="G20" i="1"/>
  <c r="G14" i="1"/>
  <c r="L16" i="1"/>
  <c r="C15" i="1"/>
  <c r="F14" i="1"/>
  <c r="O14" i="1" s="1"/>
  <c r="X14" i="1" s="1"/>
  <c r="F15" i="1"/>
  <c r="O15" i="1" s="1"/>
  <c r="X15" i="1" s="1"/>
  <c r="D6" i="1"/>
  <c r="U20" i="1"/>
  <c r="U12" i="1"/>
  <c r="U18" i="1"/>
  <c r="U19" i="1"/>
  <c r="U21" i="1"/>
  <c r="L12" i="1"/>
  <c r="C12" i="1"/>
  <c r="F12" i="1"/>
  <c r="O12" i="1" s="1"/>
  <c r="X12" i="1" s="1"/>
  <c r="G12" i="1"/>
  <c r="P17" i="1" l="1"/>
  <c r="Q17" i="1" s="1"/>
  <c r="S17" i="1" s="1"/>
  <c r="P19" i="1"/>
  <c r="Q19" i="1" s="1"/>
  <c r="S19" i="1" s="1"/>
  <c r="H18" i="1"/>
  <c r="J18" i="1" s="1"/>
  <c r="P18" i="1"/>
  <c r="Q18" i="1" s="1"/>
  <c r="S18" i="1" s="1"/>
  <c r="H14" i="1"/>
  <c r="J14" i="1" s="1"/>
  <c r="P14" i="1"/>
  <c r="P20" i="1"/>
  <c r="Q20" i="1" s="1"/>
  <c r="S20" i="1" s="1"/>
  <c r="H20" i="1"/>
  <c r="J20" i="1" s="1"/>
  <c r="H16" i="1"/>
  <c r="J16" i="1" s="1"/>
  <c r="P16" i="1"/>
  <c r="P15" i="1"/>
  <c r="H15" i="1"/>
  <c r="J15" i="1" s="1"/>
  <c r="Q13" i="1"/>
  <c r="S13" i="1" s="1"/>
  <c r="Y13" i="1"/>
  <c r="Y21" i="1"/>
  <c r="P12" i="1"/>
  <c r="Q12" i="1" s="1"/>
  <c r="S12" i="1" s="1"/>
  <c r="H12" i="1"/>
  <c r="J12" i="1" s="1"/>
  <c r="Y19" i="1" l="1"/>
  <c r="Z19" i="1" s="1"/>
  <c r="Y17" i="1"/>
  <c r="Z17" i="1" s="1"/>
  <c r="AB17" i="1" s="1"/>
  <c r="AC17" i="1" s="1"/>
  <c r="Y18" i="1"/>
  <c r="Y15" i="1"/>
  <c r="Q15" i="1"/>
  <c r="S15" i="1" s="1"/>
  <c r="Y16" i="1"/>
  <c r="Q16" i="1"/>
  <c r="S16" i="1" s="1"/>
  <c r="Y20" i="1"/>
  <c r="Y14" i="1"/>
  <c r="Q14" i="1"/>
  <c r="S14" i="1" s="1"/>
  <c r="Z13" i="1"/>
  <c r="AB13" i="1" s="1"/>
  <c r="Z21" i="1"/>
  <c r="Y12" i="1"/>
  <c r="Z12" i="1" l="1"/>
  <c r="AB12" i="1" s="1"/>
  <c r="AC12" i="1" s="1"/>
  <c r="AD12" i="1" s="1"/>
  <c r="Z18" i="1"/>
  <c r="AB18" i="1" s="1"/>
  <c r="AC18" i="1" s="1"/>
  <c r="AB21" i="1"/>
  <c r="AC21" i="1" s="1"/>
  <c r="AB19" i="1"/>
  <c r="AC19" i="1" s="1"/>
  <c r="Z14" i="1"/>
  <c r="AB14" i="1" s="1"/>
  <c r="Z20" i="1"/>
  <c r="Z16" i="1"/>
  <c r="AB16" i="1" s="1"/>
  <c r="Z15" i="1"/>
  <c r="AB15" i="1" s="1"/>
  <c r="AC13" i="1"/>
  <c r="AD13" i="1" l="1"/>
  <c r="AB20" i="1"/>
  <c r="AC20" i="1" s="1"/>
  <c r="AC15" i="1"/>
  <c r="AC16" i="1"/>
  <c r="AC14" i="1"/>
  <c r="AD14" i="1" s="1"/>
  <c r="AD15" i="1" l="1"/>
  <c r="AD16" i="1" s="1"/>
  <c r="AD17" i="1" s="1"/>
  <c r="AD18" i="1" s="1"/>
  <c r="AD19" i="1" s="1"/>
  <c r="AD20" i="1" s="1"/>
  <c r="AD21" i="1" s="1"/>
  <c r="Q23" i="1" s="1"/>
</calcChain>
</file>

<file path=xl/sharedStrings.xml><?xml version="1.0" encoding="utf-8"?>
<sst xmlns="http://schemas.openxmlformats.org/spreadsheetml/2006/main" count="56" uniqueCount="31">
  <si>
    <t>Probabilidades</t>
  </si>
  <si>
    <t>Norte</t>
  </si>
  <si>
    <t>Sur</t>
  </si>
  <si>
    <t>Este</t>
  </si>
  <si>
    <t>Oeste</t>
  </si>
  <si>
    <t>Movimientos</t>
  </si>
  <si>
    <t>x</t>
  </si>
  <si>
    <t>y</t>
  </si>
  <si>
    <t>Intervalos</t>
  </si>
  <si>
    <t>Mov X</t>
  </si>
  <si>
    <t>Mov Y</t>
  </si>
  <si>
    <t>Total</t>
  </si>
  <si>
    <t>Posición Inicial</t>
  </si>
  <si>
    <t xml:space="preserve">Cantidad de </t>
  </si>
  <si>
    <t>Longitud de movimiento (mts)</t>
  </si>
  <si>
    <t>Direcc</t>
  </si>
  <si>
    <t>RND</t>
  </si>
  <si>
    <t>Movimiento 1</t>
  </si>
  <si>
    <t>Movimiento 2</t>
  </si>
  <si>
    <t>Movimiento 3</t>
  </si>
  <si>
    <t>Long.</t>
  </si>
  <si>
    <t>Acierto</t>
  </si>
  <si>
    <t>Ubicación</t>
  </si>
  <si>
    <t>Canal</t>
  </si>
  <si>
    <t>SI</t>
  </si>
  <si>
    <t>NO</t>
  </si>
  <si>
    <t>Probabilidad de acierto</t>
  </si>
  <si>
    <t>Total de exitos</t>
  </si>
  <si>
    <t>Dron - 1er Turno</t>
  </si>
  <si>
    <t>Por lo menos 2</t>
  </si>
  <si>
    <t>Total de aciertos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</si>
</sst>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2" fontId="0" fillId="0" borderId="5" xfId="0" applyNumberFormat="1" applyBorder="1"/>
    <xf numFmtId="2" fontId="0" fillId="0" borderId="4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2" fillId="0" borderId="0" xfId="0" applyFont="1"/>
    <xf numFmtId="0" fontId="0" fillId="0" borderId="4" xfId="0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1" xfId="0" applyBorder="1"/>
    <xf numFmtId="2" fontId="0" fillId="2" borderId="5" xfId="0" applyNumberFormat="1" applyFill="1" applyBorder="1"/>
    <xf numFmtId="2" fontId="0" fillId="2" borderId="3" xfId="0" applyNumberFormat="1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/>
    <xf numFmtId="0" fontId="0" fillId="2" borderId="15" xfId="0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1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0" xfId="0" applyAlignment="1">
      <alignment horizontal="left"/>
    </xf>
    <xf numFmtId="3" fontId="4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25" xfId="0" applyBorder="1"/>
    <xf numFmtId="0" fontId="0" fillId="0" borderId="16" xfId="0" applyBorder="1"/>
    <xf numFmtId="2" fontId="0" fillId="2" borderId="26" xfId="0" applyNumberFormat="1" applyFill="1" applyBorder="1"/>
    <xf numFmtId="2" fontId="0" fillId="0" borderId="27" xfId="0" applyNumberFormat="1" applyBorder="1"/>
    <xf numFmtId="2" fontId="0" fillId="2" borderId="28" xfId="0" applyNumberFormat="1" applyFill="1" applyBorder="1"/>
    <xf numFmtId="2" fontId="0" fillId="0" borderId="29" xfId="0" applyNumberFormat="1" applyBorder="1"/>
    <xf numFmtId="0" fontId="1" fillId="0" borderId="0" xfId="0" applyFont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/>
    <xf numFmtId="0" fontId="0" fillId="0" borderId="0" xfId="0" applyBorder="1" applyAlignment="1">
      <alignment horizontal="center"/>
    </xf>
    <xf numFmtId="0" fontId="0" fillId="0" borderId="10" xfId="0" applyBorder="1"/>
    <xf numFmtId="0" fontId="1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0" fillId="0" borderId="3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3"/>
  <sheetViews>
    <sheetView tabSelected="1" workbookViewId="0">
      <selection activeCell="AD12" sqref="AD12"/>
    </sheetView>
  </sheetViews>
  <sheetFormatPr baseColWidth="10" defaultRowHeight="14.4" x14ac:dyDescent="0.3"/>
  <cols>
    <col min="1" max="1" width="6.5546875" customWidth="1"/>
    <col min="2" max="2" width="7.109375" customWidth="1"/>
    <col min="3" max="3" width="5.77734375" customWidth="1"/>
    <col min="4" max="4" width="7.6640625" customWidth="1"/>
    <col min="5" max="8" width="6.44140625" customWidth="1"/>
    <col min="9" max="9" width="5.77734375" customWidth="1"/>
    <col min="10" max="10" width="4.88671875" customWidth="1"/>
    <col min="11" max="11" width="9" customWidth="1"/>
    <col min="12" max="12" width="6.109375" customWidth="1"/>
    <col min="13" max="15" width="6.44140625" customWidth="1"/>
    <col min="16" max="16" width="5.77734375" customWidth="1"/>
    <col min="17" max="19" width="6.44140625" customWidth="1"/>
    <col min="20" max="20" width="9.109375" customWidth="1"/>
    <col min="21" max="21" width="5.77734375" customWidth="1"/>
    <col min="22" max="24" width="6.44140625" customWidth="1"/>
    <col min="25" max="25" width="4.6640625" bestFit="1" customWidth="1"/>
    <col min="26" max="26" width="5.6640625" bestFit="1" customWidth="1"/>
    <col min="27" max="28" width="6.44140625" customWidth="1"/>
    <col min="29" max="29" width="9.33203125" bestFit="1" customWidth="1"/>
    <col min="30" max="30" width="9" customWidth="1"/>
    <col min="31" max="31" width="7" bestFit="1" customWidth="1"/>
    <col min="32" max="32" width="12.109375" customWidth="1"/>
    <col min="33" max="79" width="6.44140625" customWidth="1"/>
  </cols>
  <sheetData>
    <row r="1" spans="1:95" ht="18" x14ac:dyDescent="0.35">
      <c r="A1" s="9" t="s">
        <v>28</v>
      </c>
    </row>
    <row r="2" spans="1:95" ht="15" thickBot="1" x14ac:dyDescent="0.35">
      <c r="H2" s="18" t="s">
        <v>13</v>
      </c>
      <c r="I2" s="19"/>
      <c r="J2" s="20"/>
      <c r="M2" s="34"/>
      <c r="R2" t="s">
        <v>26</v>
      </c>
    </row>
    <row r="3" spans="1:95" ht="15" thickBot="1" x14ac:dyDescent="0.35">
      <c r="A3" s="2" t="s">
        <v>0</v>
      </c>
      <c r="B3" s="3"/>
      <c r="C3" s="2" t="s">
        <v>8</v>
      </c>
      <c r="D3" s="3"/>
      <c r="E3" s="4" t="s">
        <v>9</v>
      </c>
      <c r="F3" s="4" t="s">
        <v>10</v>
      </c>
      <c r="H3" s="22" t="s">
        <v>5</v>
      </c>
      <c r="I3" s="23"/>
      <c r="J3" s="28">
        <v>3</v>
      </c>
      <c r="L3" s="2" t="s">
        <v>14</v>
      </c>
      <c r="M3" s="3"/>
      <c r="N3" s="2"/>
      <c r="O3" s="3"/>
      <c r="Q3" s="36"/>
      <c r="R3" s="38" t="s">
        <v>1</v>
      </c>
      <c r="S3" s="39"/>
      <c r="T3" s="38" t="s">
        <v>23</v>
      </c>
      <c r="U3" s="39"/>
      <c r="V3" s="38" t="s">
        <v>2</v>
      </c>
      <c r="W3" s="39"/>
    </row>
    <row r="4" spans="1:95" x14ac:dyDescent="0.3">
      <c r="A4" s="10" t="s">
        <v>1</v>
      </c>
      <c r="B4" s="24">
        <v>0.35</v>
      </c>
      <c r="C4" s="6">
        <v>0</v>
      </c>
      <c r="D4" s="5">
        <f>C5-0.01</f>
        <v>0.33999999999999997</v>
      </c>
      <c r="E4" s="26">
        <v>0</v>
      </c>
      <c r="F4" s="26">
        <v>1</v>
      </c>
      <c r="L4" s="10">
        <v>20</v>
      </c>
      <c r="M4" s="24">
        <v>0.3</v>
      </c>
      <c r="N4" s="6">
        <v>0</v>
      </c>
      <c r="O4" s="5">
        <f>N5-0.01</f>
        <v>0.28999999999999998</v>
      </c>
      <c r="Q4" t="s">
        <v>24</v>
      </c>
      <c r="R4" s="40">
        <v>0.7</v>
      </c>
      <c r="S4" s="41">
        <v>0</v>
      </c>
      <c r="T4" s="40">
        <v>0.8</v>
      </c>
      <c r="U4" s="41">
        <v>0</v>
      </c>
      <c r="V4" s="40">
        <v>0.4</v>
      </c>
      <c r="W4" s="41">
        <v>0</v>
      </c>
      <c r="Y4" s="37"/>
      <c r="AD4" s="37"/>
    </row>
    <row r="5" spans="1:95" ht="15" thickBot="1" x14ac:dyDescent="0.35">
      <c r="A5" s="10" t="s">
        <v>2</v>
      </c>
      <c r="B5" s="24">
        <v>0.3</v>
      </c>
      <c r="C5" s="6">
        <f>norte</f>
        <v>0.35</v>
      </c>
      <c r="D5" s="5">
        <f t="shared" ref="D5:D6" si="0">C6-0.01</f>
        <v>0.6399999999999999</v>
      </c>
      <c r="E5" s="26">
        <v>0</v>
      </c>
      <c r="F5" s="26">
        <v>-1</v>
      </c>
      <c r="H5" s="30" t="s">
        <v>12</v>
      </c>
      <c r="I5" s="31"/>
      <c r="K5" s="16"/>
      <c r="L5" s="10">
        <v>40</v>
      </c>
      <c r="M5" s="24">
        <v>0.5</v>
      </c>
      <c r="N5" s="6">
        <f>N4+M4</f>
        <v>0.3</v>
      </c>
      <c r="O5" s="5">
        <f>N6-0.01</f>
        <v>0.79</v>
      </c>
      <c r="Q5" t="s">
        <v>25</v>
      </c>
      <c r="R5" s="42">
        <v>0.3</v>
      </c>
      <c r="S5" s="43">
        <f>S4+R4</f>
        <v>0.7</v>
      </c>
      <c r="T5" s="42">
        <v>0.2</v>
      </c>
      <c r="U5" s="43">
        <f>U4+T4</f>
        <v>0.8</v>
      </c>
      <c r="V5" s="42">
        <v>0.6</v>
      </c>
      <c r="W5" s="43">
        <f>W4+V4</f>
        <v>0.4</v>
      </c>
      <c r="Y5" s="37"/>
      <c r="AD5" s="37"/>
    </row>
    <row r="6" spans="1:95" ht="15" thickBot="1" x14ac:dyDescent="0.35">
      <c r="A6" s="10" t="s">
        <v>3</v>
      </c>
      <c r="B6" s="24">
        <v>0.15</v>
      </c>
      <c r="C6" s="6">
        <f>C5+sur</f>
        <v>0.64999999999999991</v>
      </c>
      <c r="D6" s="5">
        <f t="shared" si="0"/>
        <v>0.78999999999999992</v>
      </c>
      <c r="E6" s="26">
        <v>1</v>
      </c>
      <c r="F6" s="26">
        <v>0</v>
      </c>
      <c r="H6" s="21" t="s">
        <v>6</v>
      </c>
      <c r="I6" s="32" t="s">
        <v>7</v>
      </c>
      <c r="L6" s="1">
        <v>50</v>
      </c>
      <c r="M6" s="25">
        <v>0.2</v>
      </c>
      <c r="N6" s="7">
        <f>N5+M5</f>
        <v>0.8</v>
      </c>
      <c r="O6" s="8">
        <f>0.99</f>
        <v>0.99</v>
      </c>
      <c r="AD6" s="37"/>
    </row>
    <row r="7" spans="1:95" ht="15" thickBot="1" x14ac:dyDescent="0.35">
      <c r="A7" s="1" t="s">
        <v>4</v>
      </c>
      <c r="B7" s="25">
        <v>0.2</v>
      </c>
      <c r="C7" s="7">
        <f>C6+este</f>
        <v>0.79999999999999993</v>
      </c>
      <c r="D7" s="8">
        <v>0.99</v>
      </c>
      <c r="E7" s="27">
        <v>-1</v>
      </c>
      <c r="F7" s="27">
        <v>0</v>
      </c>
      <c r="H7" s="29">
        <v>0</v>
      </c>
      <c r="I7" s="33">
        <v>0</v>
      </c>
      <c r="L7" s="35"/>
      <c r="M7" s="35"/>
      <c r="N7" s="35"/>
      <c r="O7" s="35"/>
      <c r="P7" s="35"/>
    </row>
    <row r="8" spans="1:95" x14ac:dyDescent="0.3">
      <c r="A8" t="s">
        <v>11</v>
      </c>
      <c r="B8">
        <f>SUM(B4:B7)</f>
        <v>1</v>
      </c>
      <c r="L8" t="s">
        <v>11</v>
      </c>
      <c r="M8">
        <f>SUM(M4:M7)</f>
        <v>1</v>
      </c>
    </row>
    <row r="9" spans="1:95" x14ac:dyDescent="0.3">
      <c r="O9" s="17"/>
      <c r="P9" s="17"/>
      <c r="Q9" s="17"/>
      <c r="R9" s="17"/>
      <c r="S9" s="17"/>
      <c r="T9" s="17"/>
      <c r="W9" s="17"/>
      <c r="Z9" s="17"/>
      <c r="AC9" s="17"/>
      <c r="AF9" s="17"/>
      <c r="AI9" s="17"/>
      <c r="AL9" s="17"/>
      <c r="AO9" s="17"/>
      <c r="AR9" s="17"/>
      <c r="AU9" s="17"/>
      <c r="AX9" s="17"/>
      <c r="BA9" s="17"/>
      <c r="BD9" s="17"/>
      <c r="BG9" s="17"/>
      <c r="BJ9" s="17"/>
      <c r="BM9" s="17"/>
      <c r="BP9" s="17"/>
      <c r="BS9" s="17"/>
      <c r="BV9" s="17"/>
      <c r="BY9" s="17"/>
    </row>
    <row r="10" spans="1:95" ht="15" thickBot="1" x14ac:dyDescent="0.35">
      <c r="F10" t="s">
        <v>17</v>
      </c>
      <c r="O10" t="s">
        <v>18</v>
      </c>
      <c r="X10" t="s">
        <v>19</v>
      </c>
      <c r="AC10" s="49" t="s">
        <v>30</v>
      </c>
      <c r="AD10" s="51" t="s">
        <v>29</v>
      </c>
    </row>
    <row r="11" spans="1:95" s="11" customFormat="1" x14ac:dyDescent="0.3">
      <c r="A11" s="15"/>
      <c r="B11" s="12" t="s">
        <v>16</v>
      </c>
      <c r="C11" s="13" t="s">
        <v>15</v>
      </c>
      <c r="D11" s="12" t="s">
        <v>16</v>
      </c>
      <c r="E11" s="13" t="s">
        <v>20</v>
      </c>
      <c r="F11" s="14" t="s">
        <v>6</v>
      </c>
      <c r="G11" s="13" t="s">
        <v>7</v>
      </c>
      <c r="H11" s="14" t="s">
        <v>22</v>
      </c>
      <c r="I11" s="12" t="s">
        <v>16</v>
      </c>
      <c r="J11" s="46" t="s">
        <v>21</v>
      </c>
      <c r="K11" s="14" t="s">
        <v>16</v>
      </c>
      <c r="L11" s="13" t="s">
        <v>15</v>
      </c>
      <c r="M11" s="12" t="s">
        <v>16</v>
      </c>
      <c r="N11" s="13" t="s">
        <v>20</v>
      </c>
      <c r="O11" s="12" t="s">
        <v>6</v>
      </c>
      <c r="P11" s="13" t="s">
        <v>7</v>
      </c>
      <c r="Q11" s="14" t="s">
        <v>22</v>
      </c>
      <c r="R11" s="12" t="s">
        <v>16</v>
      </c>
      <c r="S11" s="45" t="s">
        <v>21</v>
      </c>
      <c r="T11" s="12" t="s">
        <v>16</v>
      </c>
      <c r="U11" s="13" t="s">
        <v>15</v>
      </c>
      <c r="V11" s="12" t="s">
        <v>16</v>
      </c>
      <c r="W11" s="13" t="s">
        <v>20</v>
      </c>
      <c r="X11" s="14" t="s">
        <v>6</v>
      </c>
      <c r="Y11" s="14" t="s">
        <v>7</v>
      </c>
      <c r="Z11" s="14" t="s">
        <v>22</v>
      </c>
      <c r="AA11" s="12" t="s">
        <v>16</v>
      </c>
      <c r="AB11" s="14" t="s">
        <v>21</v>
      </c>
      <c r="AC11" s="50"/>
      <c r="AD11" s="52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15"/>
      <c r="CO11" s="15"/>
      <c r="CP11" s="15"/>
      <c r="CQ11" s="15"/>
    </row>
    <row r="12" spans="1:95" x14ac:dyDescent="0.3">
      <c r="A12">
        <v>1</v>
      </c>
      <c r="B12" s="37">
        <f ca="1">RAND()</f>
        <v>0.78031748987912442</v>
      </c>
      <c r="C12" t="str">
        <f t="shared" ref="C12:C21" ca="1" si="1">LOOKUP(B12,L_inferior,Direccion)</f>
        <v>Este</v>
      </c>
      <c r="D12" s="37">
        <f ca="1">RAND()</f>
        <v>0.98853366619357641</v>
      </c>
      <c r="E12">
        <f t="shared" ref="E12:E21" ca="1" si="2">LOOKUP(D12,L_longitud,Longitud)</f>
        <v>50</v>
      </c>
      <c r="F12">
        <f t="shared" ref="F12:F21" ca="1" si="3">X_inicial+(LOOKUP(B12,L_inferior,Mov_X)*LOOKUP(D12,L_longitud,Longitud))</f>
        <v>50</v>
      </c>
      <c r="G12">
        <f t="shared" ref="G12:G21" ca="1" si="4">Y_inicial+(LOOKUP(B12,L_inferior,Mov_Y)*LOOKUP(D12,L_longitud,Longitud))</f>
        <v>0</v>
      </c>
      <c r="H12" t="str">
        <f ca="1">IF(G12&gt;5,"Norte",IF(G12=0,"Canal","Sur"))</f>
        <v>Canal</v>
      </c>
      <c r="I12" s="37">
        <f ca="1">RAND()</f>
        <v>0.94382147700205088</v>
      </c>
      <c r="J12" s="32" t="str">
        <f t="shared" ref="J12:J21" ca="1" si="5">IF(H12="Norte",LOOKUP(I12,Acierto_N,Si_No),IF(H12="Canal",LOOKUP(I12,Acierto_C,Si_No),LOOKUP(I12,Acierto_S,Si_No)))</f>
        <v>NO</v>
      </c>
      <c r="K12" s="37">
        <f t="shared" ref="K12:K21" ca="1" si="6">RAND()</f>
        <v>0.38326041954865964</v>
      </c>
      <c r="L12" t="str">
        <f t="shared" ref="L12:L21" ca="1" si="7">LOOKUP(K12,L_inferior,Direccion)</f>
        <v>Sur</v>
      </c>
      <c r="M12" s="37">
        <f ca="1">RAND()</f>
        <v>0.47419101825493437</v>
      </c>
      <c r="N12">
        <f t="shared" ref="N12:N21" ca="1" si="8">LOOKUP(M12,L_longitud,Longitud)</f>
        <v>40</v>
      </c>
      <c r="O12">
        <f t="shared" ref="O12:O21" ca="1" si="9">F12+(LOOKUP(K12,L_inferior,Mov_X)*LOOKUP(M12,L_longitud,Longitud))</f>
        <v>50</v>
      </c>
      <c r="P12">
        <f t="shared" ref="P12:P21" ca="1" si="10">G12+(LOOKUP(K12,L_inferior,Mov_Y)*LOOKUP(M12,L_longitud,Longitud))</f>
        <v>-40</v>
      </c>
      <c r="Q12" t="str">
        <f ca="1">IF(P12&gt;5,"Norte",IF(P12=0,"Canal","Sur"))</f>
        <v>Sur</v>
      </c>
      <c r="R12" s="37">
        <f ca="1">RAND()</f>
        <v>0.32801241157312144</v>
      </c>
      <c r="S12" s="32" t="str">
        <f t="shared" ref="S12:S21" ca="1" si="11">IF(Q12="Norte",LOOKUP(R12,Acierto_N,Si_No),IF(Q12="Canal",LOOKUP(R12,Acierto_C,Si_No),LOOKUP(R12,Acierto_S,Si_No)))</f>
        <v>SI</v>
      </c>
      <c r="T12" s="37">
        <f t="shared" ref="T12:T21" ca="1" si="12">RAND()</f>
        <v>0.42371045819000075</v>
      </c>
      <c r="U12" t="str">
        <f t="shared" ref="U12:U21" ca="1" si="13">LOOKUP(T12,L_inferior,Direccion)</f>
        <v>Sur</v>
      </c>
      <c r="V12" s="37">
        <f ca="1">RAND()</f>
        <v>0.30586322617349504</v>
      </c>
      <c r="W12">
        <f t="shared" ref="W12:W21" ca="1" si="14">LOOKUP(V12,L_longitud,Longitud)</f>
        <v>40</v>
      </c>
      <c r="X12">
        <f t="shared" ref="X12:X21" ca="1" si="15">O12+(LOOKUP(T12,L_inferior,Mov_X)*LOOKUP(V12,L_longitud,Longitud))</f>
        <v>50</v>
      </c>
      <c r="Y12">
        <f t="shared" ref="Y12:Y21" ca="1" si="16">P12+(LOOKUP(T12,L_inferior,Mov_Y)*LOOKUP(V12,L_longitud,Longitud))</f>
        <v>-80</v>
      </c>
      <c r="Z12" t="str">
        <f ca="1">IF(Y12&gt;5,"Norte",IF(Y12=0,"Canal","Sur"))</f>
        <v>Sur</v>
      </c>
      <c r="AA12" s="37">
        <f ca="1">RAND()</f>
        <v>5.8376222655872056E-2</v>
      </c>
      <c r="AB12" s="47" t="str">
        <f t="shared" ref="AB12:AB21" ca="1" si="17">IF(Z12="Norte",LOOKUP(AA12,Acierto_N,Si_No),IF(Z12="Canal",LOOKUP(AA12,Acierto_C,Si_No),LOOKUP(AA12,Acierto_S,Si_No)))</f>
        <v>SI</v>
      </c>
      <c r="AC12" s="48">
        <f ca="1">COUNTIF(J12:AB12,"=Si")</f>
        <v>2</v>
      </c>
      <c r="AD12" s="48">
        <f ca="1">IF(AC12&gt;1,1,0)</f>
        <v>1</v>
      </c>
    </row>
    <row r="13" spans="1:95" x14ac:dyDescent="0.3">
      <c r="A13">
        <v>2</v>
      </c>
      <c r="B13" s="37">
        <f t="shared" ref="B13:B17" ca="1" si="18">RAND()</f>
        <v>0.62577790611128847</v>
      </c>
      <c r="C13" t="str">
        <f t="shared" ca="1" si="1"/>
        <v>Sur</v>
      </c>
      <c r="D13" s="37">
        <f t="shared" ref="D13:D17" ca="1" si="19">RAND()</f>
        <v>0.92024204778270657</v>
      </c>
      <c r="E13">
        <f t="shared" ca="1" si="2"/>
        <v>50</v>
      </c>
      <c r="F13">
        <f t="shared" ca="1" si="3"/>
        <v>0</v>
      </c>
      <c r="G13">
        <f t="shared" ca="1" si="4"/>
        <v>-50</v>
      </c>
      <c r="H13" t="str">
        <f t="shared" ref="H13:H17" ca="1" si="20">IF(G13&gt;5,"Norte",IF(G13=0,"Canal","Sur"))</f>
        <v>Sur</v>
      </c>
      <c r="I13" s="37">
        <f t="shared" ref="I13:I17" ca="1" si="21">RAND()</f>
        <v>0.82916611371146198</v>
      </c>
      <c r="J13" s="32" t="str">
        <f t="shared" ca="1" si="5"/>
        <v>NO</v>
      </c>
      <c r="K13" s="37">
        <f t="shared" ca="1" si="6"/>
        <v>0.53713749373689057</v>
      </c>
      <c r="L13" t="str">
        <f t="shared" ca="1" si="7"/>
        <v>Sur</v>
      </c>
      <c r="M13" s="37">
        <f t="shared" ref="M13:M17" ca="1" si="22">RAND()</f>
        <v>0.11774360102456138</v>
      </c>
      <c r="N13">
        <f t="shared" ca="1" si="8"/>
        <v>20</v>
      </c>
      <c r="O13">
        <f t="shared" ca="1" si="9"/>
        <v>0</v>
      </c>
      <c r="P13">
        <f t="shared" ca="1" si="10"/>
        <v>-70</v>
      </c>
      <c r="Q13" t="str">
        <f t="shared" ref="Q13:Q21" ca="1" si="23">IF(P13&gt;5,"Norte",IF(P13=0,"Canal","Sur"))</f>
        <v>Sur</v>
      </c>
      <c r="R13" s="37">
        <f t="shared" ref="R13:R21" ca="1" si="24">RAND()</f>
        <v>0.4703334145253083</v>
      </c>
      <c r="S13" s="32" t="str">
        <f t="shared" ca="1" si="11"/>
        <v>NO</v>
      </c>
      <c r="T13" s="37">
        <f t="shared" ca="1" si="12"/>
        <v>0.80543700083022707</v>
      </c>
      <c r="U13" t="str">
        <f t="shared" ca="1" si="13"/>
        <v>Oeste</v>
      </c>
      <c r="V13" s="37">
        <f t="shared" ref="V13:V17" ca="1" si="25">RAND()</f>
        <v>0.72986446065932176</v>
      </c>
      <c r="W13">
        <f t="shared" ca="1" si="14"/>
        <v>40</v>
      </c>
      <c r="X13">
        <f t="shared" ca="1" si="15"/>
        <v>-40</v>
      </c>
      <c r="Y13">
        <f t="shared" ca="1" si="16"/>
        <v>-70</v>
      </c>
      <c r="Z13" t="str">
        <f t="shared" ref="Z13:Z21" ca="1" si="26">IF(Y13&gt;5,"Norte",IF(Y13=0,"Canal","Sur"))</f>
        <v>Sur</v>
      </c>
      <c r="AA13" s="37">
        <f t="shared" ref="AA13:AA21" ca="1" si="27">RAND()</f>
        <v>0.10638856255254536</v>
      </c>
      <c r="AB13" s="47" t="str">
        <f t="shared" ca="1" si="17"/>
        <v>SI</v>
      </c>
      <c r="AC13" s="48">
        <f t="shared" ref="AC13:AC21" ca="1" si="28">COUNTIF(J13:AB13,"=Si")</f>
        <v>1</v>
      </c>
      <c r="AD13" s="48">
        <f ca="1">IF(AC13&gt;1,1,0)+AD12</f>
        <v>1</v>
      </c>
    </row>
    <row r="14" spans="1:95" x14ac:dyDescent="0.3">
      <c r="A14">
        <v>3</v>
      </c>
      <c r="B14" s="37">
        <f t="shared" ca="1" si="18"/>
        <v>0.67725579599675212</v>
      </c>
      <c r="C14" t="str">
        <f t="shared" ca="1" si="1"/>
        <v>Este</v>
      </c>
      <c r="D14" s="37">
        <f t="shared" ca="1" si="19"/>
        <v>0.76561419232606509</v>
      </c>
      <c r="E14">
        <f t="shared" ca="1" si="2"/>
        <v>40</v>
      </c>
      <c r="F14">
        <f t="shared" ca="1" si="3"/>
        <v>40</v>
      </c>
      <c r="G14">
        <f t="shared" ca="1" si="4"/>
        <v>0</v>
      </c>
      <c r="H14" t="str">
        <f t="shared" ca="1" si="20"/>
        <v>Canal</v>
      </c>
      <c r="I14" s="37">
        <f t="shared" ca="1" si="21"/>
        <v>0.91834676754173505</v>
      </c>
      <c r="J14" s="32" t="str">
        <f t="shared" ca="1" si="5"/>
        <v>NO</v>
      </c>
      <c r="K14" s="37">
        <f t="shared" ca="1" si="6"/>
        <v>0.77358886236064639</v>
      </c>
      <c r="L14" t="str">
        <f t="shared" ca="1" si="7"/>
        <v>Este</v>
      </c>
      <c r="M14" s="37">
        <f t="shared" ca="1" si="22"/>
        <v>0.95961249712599095</v>
      </c>
      <c r="N14">
        <f t="shared" ca="1" si="8"/>
        <v>50</v>
      </c>
      <c r="O14">
        <f t="shared" ca="1" si="9"/>
        <v>90</v>
      </c>
      <c r="P14">
        <f t="shared" ca="1" si="10"/>
        <v>0</v>
      </c>
      <c r="Q14" t="str">
        <f t="shared" ca="1" si="23"/>
        <v>Canal</v>
      </c>
      <c r="R14" s="37">
        <f t="shared" ca="1" si="24"/>
        <v>8.7499131869065994E-2</v>
      </c>
      <c r="S14" s="32" t="str">
        <f t="shared" ca="1" si="11"/>
        <v>SI</v>
      </c>
      <c r="T14" s="37">
        <f t="shared" ca="1" si="12"/>
        <v>0.82830221854906705</v>
      </c>
      <c r="U14" t="str">
        <f t="shared" ca="1" si="13"/>
        <v>Oeste</v>
      </c>
      <c r="V14" s="37">
        <f t="shared" ca="1" si="25"/>
        <v>0.5671709475532255</v>
      </c>
      <c r="W14">
        <f t="shared" ca="1" si="14"/>
        <v>40</v>
      </c>
      <c r="X14">
        <f t="shared" ca="1" si="15"/>
        <v>50</v>
      </c>
      <c r="Y14">
        <f t="shared" ca="1" si="16"/>
        <v>0</v>
      </c>
      <c r="Z14" t="str">
        <f t="shared" ca="1" si="26"/>
        <v>Canal</v>
      </c>
      <c r="AA14" s="37">
        <f t="shared" ca="1" si="27"/>
        <v>0.59705833654790275</v>
      </c>
      <c r="AB14" s="47" t="str">
        <f t="shared" ca="1" si="17"/>
        <v>SI</v>
      </c>
      <c r="AC14" s="48">
        <f t="shared" ca="1" si="28"/>
        <v>2</v>
      </c>
      <c r="AD14" s="48">
        <f t="shared" ref="AD14:AD21" ca="1" si="29">IF(AC14&gt;1,1,0)+AD13</f>
        <v>2</v>
      </c>
    </row>
    <row r="15" spans="1:95" x14ac:dyDescent="0.3">
      <c r="A15">
        <v>4</v>
      </c>
      <c r="B15" s="37">
        <f t="shared" ca="1" si="18"/>
        <v>0.18175812206020725</v>
      </c>
      <c r="C15" t="str">
        <f t="shared" ca="1" si="1"/>
        <v>Norte</v>
      </c>
      <c r="D15" s="37">
        <f t="shared" ca="1" si="19"/>
        <v>0.20331075675260479</v>
      </c>
      <c r="E15">
        <f t="shared" ca="1" si="2"/>
        <v>20</v>
      </c>
      <c r="F15">
        <f t="shared" ca="1" si="3"/>
        <v>0</v>
      </c>
      <c r="G15">
        <f t="shared" ca="1" si="4"/>
        <v>20</v>
      </c>
      <c r="H15" t="str">
        <f t="shared" ca="1" si="20"/>
        <v>Norte</v>
      </c>
      <c r="I15" s="37">
        <f t="shared" ca="1" si="21"/>
        <v>6.0116931090985926E-2</v>
      </c>
      <c r="J15" s="32" t="str">
        <f t="shared" ca="1" si="5"/>
        <v>SI</v>
      </c>
      <c r="K15" s="37">
        <f t="shared" ca="1" si="6"/>
        <v>0.61964484811044396</v>
      </c>
      <c r="L15" t="str">
        <f t="shared" ca="1" si="7"/>
        <v>Sur</v>
      </c>
      <c r="M15" s="37">
        <f t="shared" ca="1" si="22"/>
        <v>0.53715170798462897</v>
      </c>
      <c r="N15">
        <f t="shared" ca="1" si="8"/>
        <v>40</v>
      </c>
      <c r="O15">
        <f t="shared" ca="1" si="9"/>
        <v>0</v>
      </c>
      <c r="P15">
        <f t="shared" ca="1" si="10"/>
        <v>-20</v>
      </c>
      <c r="Q15" t="str">
        <f t="shared" ca="1" si="23"/>
        <v>Sur</v>
      </c>
      <c r="R15" s="37">
        <f t="shared" ca="1" si="24"/>
        <v>0.16806458143003977</v>
      </c>
      <c r="S15" s="32" t="str">
        <f t="shared" ca="1" si="11"/>
        <v>SI</v>
      </c>
      <c r="T15" s="37">
        <f t="shared" ca="1" si="12"/>
        <v>0.84295590520095198</v>
      </c>
      <c r="U15" t="str">
        <f t="shared" ca="1" si="13"/>
        <v>Oeste</v>
      </c>
      <c r="V15" s="37">
        <f t="shared" ca="1" si="25"/>
        <v>0.47881309716221454</v>
      </c>
      <c r="W15">
        <f t="shared" ca="1" si="14"/>
        <v>40</v>
      </c>
      <c r="X15">
        <f t="shared" ca="1" si="15"/>
        <v>-40</v>
      </c>
      <c r="Y15">
        <f t="shared" ca="1" si="16"/>
        <v>-20</v>
      </c>
      <c r="Z15" t="str">
        <f t="shared" ca="1" si="26"/>
        <v>Sur</v>
      </c>
      <c r="AA15" s="37">
        <f t="shared" ca="1" si="27"/>
        <v>0.52746087477093095</v>
      </c>
      <c r="AB15" s="47" t="str">
        <f t="shared" ca="1" si="17"/>
        <v>NO</v>
      </c>
      <c r="AC15" s="48">
        <f t="shared" ca="1" si="28"/>
        <v>2</v>
      </c>
      <c r="AD15" s="48">
        <f t="shared" ca="1" si="29"/>
        <v>3</v>
      </c>
    </row>
    <row r="16" spans="1:95" x14ac:dyDescent="0.3">
      <c r="A16">
        <v>5</v>
      </c>
      <c r="B16" s="37">
        <f t="shared" ca="1" si="18"/>
        <v>0.45534228392956944</v>
      </c>
      <c r="C16" t="str">
        <f t="shared" ca="1" si="1"/>
        <v>Sur</v>
      </c>
      <c r="D16" s="37">
        <f t="shared" ca="1" si="19"/>
        <v>0.66149952728322114</v>
      </c>
      <c r="E16">
        <f t="shared" ca="1" si="2"/>
        <v>40</v>
      </c>
      <c r="F16">
        <f t="shared" ca="1" si="3"/>
        <v>0</v>
      </c>
      <c r="G16">
        <f t="shared" ca="1" si="4"/>
        <v>-40</v>
      </c>
      <c r="H16" t="str">
        <f t="shared" ca="1" si="20"/>
        <v>Sur</v>
      </c>
      <c r="I16" s="37">
        <f t="shared" ca="1" si="21"/>
        <v>0.9235717398338289</v>
      </c>
      <c r="J16" s="32" t="str">
        <f t="shared" ca="1" si="5"/>
        <v>NO</v>
      </c>
      <c r="K16" s="37">
        <f t="shared" ca="1" si="6"/>
        <v>0.36226871568755592</v>
      </c>
      <c r="L16" t="str">
        <f t="shared" ca="1" si="7"/>
        <v>Sur</v>
      </c>
      <c r="M16" s="37">
        <f t="shared" ca="1" si="22"/>
        <v>0.64696885956258399</v>
      </c>
      <c r="N16">
        <f t="shared" ca="1" si="8"/>
        <v>40</v>
      </c>
      <c r="O16">
        <f t="shared" ca="1" si="9"/>
        <v>0</v>
      </c>
      <c r="P16">
        <f t="shared" ca="1" si="10"/>
        <v>-80</v>
      </c>
      <c r="Q16" t="str">
        <f t="shared" ca="1" si="23"/>
        <v>Sur</v>
      </c>
      <c r="R16" s="37">
        <f t="shared" ca="1" si="24"/>
        <v>0.34102435222416916</v>
      </c>
      <c r="S16" s="32" t="str">
        <f t="shared" ca="1" si="11"/>
        <v>SI</v>
      </c>
      <c r="T16" s="37">
        <f t="shared" ca="1" si="12"/>
        <v>0.26989266450127802</v>
      </c>
      <c r="U16" t="str">
        <f t="shared" ca="1" si="13"/>
        <v>Norte</v>
      </c>
      <c r="V16" s="37">
        <f t="shared" ca="1" si="25"/>
        <v>0.58464222890825457</v>
      </c>
      <c r="W16">
        <f t="shared" ca="1" si="14"/>
        <v>40</v>
      </c>
      <c r="X16">
        <f t="shared" ca="1" si="15"/>
        <v>0</v>
      </c>
      <c r="Y16">
        <f t="shared" ca="1" si="16"/>
        <v>-40</v>
      </c>
      <c r="Z16" t="str">
        <f t="shared" ca="1" si="26"/>
        <v>Sur</v>
      </c>
      <c r="AA16" s="37">
        <f t="shared" ca="1" si="27"/>
        <v>0.11076029668460441</v>
      </c>
      <c r="AB16" s="47" t="str">
        <f t="shared" ca="1" si="17"/>
        <v>SI</v>
      </c>
      <c r="AC16" s="48">
        <f t="shared" ca="1" si="28"/>
        <v>2</v>
      </c>
      <c r="AD16" s="48">
        <f t="shared" ca="1" si="29"/>
        <v>4</v>
      </c>
    </row>
    <row r="17" spans="1:30" x14ac:dyDescent="0.3">
      <c r="A17">
        <v>6</v>
      </c>
      <c r="B17" s="37">
        <f t="shared" ca="1" si="18"/>
        <v>0.52742456027447748</v>
      </c>
      <c r="C17" t="str">
        <f t="shared" ca="1" si="1"/>
        <v>Sur</v>
      </c>
      <c r="D17" s="37">
        <f t="shared" ca="1" si="19"/>
        <v>0.42024988065834534</v>
      </c>
      <c r="E17">
        <f t="shared" ca="1" si="2"/>
        <v>40</v>
      </c>
      <c r="F17">
        <f t="shared" ca="1" si="3"/>
        <v>0</v>
      </c>
      <c r="G17">
        <f t="shared" ca="1" si="4"/>
        <v>-40</v>
      </c>
      <c r="H17" t="str">
        <f t="shared" ca="1" si="20"/>
        <v>Sur</v>
      </c>
      <c r="I17" s="37">
        <f t="shared" ca="1" si="21"/>
        <v>0.35000263325286518</v>
      </c>
      <c r="J17" s="32" t="str">
        <f t="shared" ca="1" si="5"/>
        <v>SI</v>
      </c>
      <c r="K17" s="37">
        <f t="shared" ca="1" si="6"/>
        <v>0.25312973421534668</v>
      </c>
      <c r="L17" t="str">
        <f t="shared" ca="1" si="7"/>
        <v>Norte</v>
      </c>
      <c r="M17" s="37">
        <f t="shared" ca="1" si="22"/>
        <v>0.73512739711547836</v>
      </c>
      <c r="N17">
        <f t="shared" ca="1" si="8"/>
        <v>40</v>
      </c>
      <c r="O17">
        <f t="shared" ca="1" si="9"/>
        <v>0</v>
      </c>
      <c r="P17">
        <f t="shared" ca="1" si="10"/>
        <v>0</v>
      </c>
      <c r="Q17" t="str">
        <f t="shared" ca="1" si="23"/>
        <v>Canal</v>
      </c>
      <c r="R17" s="37">
        <f t="shared" ca="1" si="24"/>
        <v>0.57482107469502475</v>
      </c>
      <c r="S17" s="32" t="str">
        <f t="shared" ca="1" si="11"/>
        <v>SI</v>
      </c>
      <c r="T17" s="37">
        <f t="shared" ca="1" si="12"/>
        <v>0.70518462647095015</v>
      </c>
      <c r="U17" t="str">
        <f t="shared" ca="1" si="13"/>
        <v>Este</v>
      </c>
      <c r="V17" s="37">
        <f t="shared" ca="1" si="25"/>
        <v>4.7387251768487237E-2</v>
      </c>
      <c r="W17">
        <f t="shared" ca="1" si="14"/>
        <v>20</v>
      </c>
      <c r="X17">
        <f t="shared" ca="1" si="15"/>
        <v>20</v>
      </c>
      <c r="Y17">
        <f t="shared" ca="1" si="16"/>
        <v>0</v>
      </c>
      <c r="Z17" t="str">
        <f t="shared" ca="1" si="26"/>
        <v>Canal</v>
      </c>
      <c r="AA17" s="37">
        <f t="shared" ca="1" si="27"/>
        <v>0.22500205630813841</v>
      </c>
      <c r="AB17" s="47" t="str">
        <f t="shared" ca="1" si="17"/>
        <v>SI</v>
      </c>
      <c r="AC17" s="48">
        <f t="shared" ca="1" si="28"/>
        <v>3</v>
      </c>
      <c r="AD17" s="48">
        <f t="shared" ca="1" si="29"/>
        <v>5</v>
      </c>
    </row>
    <row r="18" spans="1:30" x14ac:dyDescent="0.3">
      <c r="A18">
        <v>7</v>
      </c>
      <c r="B18" s="37">
        <f t="shared" ref="B18:B21" ca="1" si="30">RAND()</f>
        <v>0.53306599351944128</v>
      </c>
      <c r="C18" t="str">
        <f t="shared" ca="1" si="1"/>
        <v>Sur</v>
      </c>
      <c r="D18" s="37">
        <f t="shared" ref="D18:D21" ca="1" si="31">RAND()</f>
        <v>0.1024243793018762</v>
      </c>
      <c r="E18">
        <f t="shared" ca="1" si="2"/>
        <v>20</v>
      </c>
      <c r="F18">
        <f t="shared" ca="1" si="3"/>
        <v>0</v>
      </c>
      <c r="G18">
        <f t="shared" ca="1" si="4"/>
        <v>-20</v>
      </c>
      <c r="H18" t="str">
        <f t="shared" ref="H18:H21" ca="1" si="32">IF(G18&gt;5,"Norte",IF(G18=0,"Canal","Sur"))</f>
        <v>Sur</v>
      </c>
      <c r="I18" s="37">
        <f t="shared" ref="I18:I21" ca="1" si="33">RAND()</f>
        <v>0.6799214438040907</v>
      </c>
      <c r="J18" s="32" t="str">
        <f t="shared" ca="1" si="5"/>
        <v>NO</v>
      </c>
      <c r="K18" s="37">
        <f t="shared" ca="1" si="6"/>
        <v>0.5903585651284512</v>
      </c>
      <c r="L18" t="str">
        <f t="shared" ca="1" si="7"/>
        <v>Sur</v>
      </c>
      <c r="M18" s="37">
        <f t="shared" ref="M18:M21" ca="1" si="34">RAND()</f>
        <v>0.96865273491600967</v>
      </c>
      <c r="N18">
        <f t="shared" ca="1" si="8"/>
        <v>50</v>
      </c>
      <c r="O18">
        <f t="shared" ca="1" si="9"/>
        <v>0</v>
      </c>
      <c r="P18">
        <f t="shared" ca="1" si="10"/>
        <v>-70</v>
      </c>
      <c r="Q18" t="str">
        <f t="shared" ca="1" si="23"/>
        <v>Sur</v>
      </c>
      <c r="R18" s="37">
        <f t="shared" ca="1" si="24"/>
        <v>0.86219876444386911</v>
      </c>
      <c r="S18" s="32" t="str">
        <f t="shared" ca="1" si="11"/>
        <v>NO</v>
      </c>
      <c r="T18" s="37">
        <f t="shared" ca="1" si="12"/>
        <v>0.56989803095667479</v>
      </c>
      <c r="U18" t="str">
        <f t="shared" ca="1" si="13"/>
        <v>Sur</v>
      </c>
      <c r="V18" s="37">
        <f t="shared" ref="V18:V21" ca="1" si="35">RAND()</f>
        <v>0.87357000150044395</v>
      </c>
      <c r="W18">
        <f t="shared" ca="1" si="14"/>
        <v>50</v>
      </c>
      <c r="X18">
        <f t="shared" ca="1" si="15"/>
        <v>0</v>
      </c>
      <c r="Y18">
        <f t="shared" ca="1" si="16"/>
        <v>-120</v>
      </c>
      <c r="Z18" t="str">
        <f t="shared" ca="1" si="26"/>
        <v>Sur</v>
      </c>
      <c r="AA18" s="37">
        <f t="shared" ca="1" si="27"/>
        <v>0.32644570502434045</v>
      </c>
      <c r="AB18" s="47" t="str">
        <f t="shared" ca="1" si="17"/>
        <v>SI</v>
      </c>
      <c r="AC18" s="48">
        <f t="shared" ca="1" si="28"/>
        <v>1</v>
      </c>
      <c r="AD18" s="48">
        <f t="shared" ca="1" si="29"/>
        <v>5</v>
      </c>
    </row>
    <row r="19" spans="1:30" x14ac:dyDescent="0.3">
      <c r="A19">
        <v>8</v>
      </c>
      <c r="B19" s="37">
        <f t="shared" ca="1" si="30"/>
        <v>0.3969795492774375</v>
      </c>
      <c r="C19" t="str">
        <f t="shared" ca="1" si="1"/>
        <v>Sur</v>
      </c>
      <c r="D19" s="37">
        <f t="shared" ca="1" si="31"/>
        <v>0.11954214201172964</v>
      </c>
      <c r="E19">
        <f t="shared" ca="1" si="2"/>
        <v>20</v>
      </c>
      <c r="F19">
        <f t="shared" ca="1" si="3"/>
        <v>0</v>
      </c>
      <c r="G19">
        <f t="shared" ca="1" si="4"/>
        <v>-20</v>
      </c>
      <c r="H19" t="str">
        <f t="shared" ca="1" si="32"/>
        <v>Sur</v>
      </c>
      <c r="I19" s="37">
        <f t="shared" ca="1" si="33"/>
        <v>0.81218818568772089</v>
      </c>
      <c r="J19" s="32" t="str">
        <f t="shared" ca="1" si="5"/>
        <v>NO</v>
      </c>
      <c r="K19" s="37">
        <f t="shared" ca="1" si="6"/>
        <v>0.44321950630921858</v>
      </c>
      <c r="L19" t="str">
        <f t="shared" ca="1" si="7"/>
        <v>Sur</v>
      </c>
      <c r="M19" s="37">
        <f t="shared" ca="1" si="34"/>
        <v>0.86008263377834682</v>
      </c>
      <c r="N19">
        <f t="shared" ca="1" si="8"/>
        <v>50</v>
      </c>
      <c r="O19">
        <f t="shared" ca="1" si="9"/>
        <v>0</v>
      </c>
      <c r="P19">
        <f t="shared" ca="1" si="10"/>
        <v>-70</v>
      </c>
      <c r="Q19" t="str">
        <f t="shared" ca="1" si="23"/>
        <v>Sur</v>
      </c>
      <c r="R19" s="37">
        <f t="shared" ca="1" si="24"/>
        <v>0.29437573604827127</v>
      </c>
      <c r="S19" s="32" t="str">
        <f t="shared" ca="1" si="11"/>
        <v>SI</v>
      </c>
      <c r="T19" s="37">
        <f t="shared" ca="1" si="12"/>
        <v>0.68117506836292951</v>
      </c>
      <c r="U19" t="str">
        <f t="shared" ca="1" si="13"/>
        <v>Este</v>
      </c>
      <c r="V19" s="37">
        <f t="shared" ca="1" si="35"/>
        <v>0.83446600882982291</v>
      </c>
      <c r="W19">
        <f t="shared" ca="1" si="14"/>
        <v>50</v>
      </c>
      <c r="X19">
        <f t="shared" ca="1" si="15"/>
        <v>50</v>
      </c>
      <c r="Y19">
        <f t="shared" ca="1" si="16"/>
        <v>-70</v>
      </c>
      <c r="Z19" t="str">
        <f t="shared" ca="1" si="26"/>
        <v>Sur</v>
      </c>
      <c r="AA19" s="37">
        <f t="shared" ca="1" si="27"/>
        <v>0.57231732746822128</v>
      </c>
      <c r="AB19" s="47" t="str">
        <f t="shared" ca="1" si="17"/>
        <v>NO</v>
      </c>
      <c r="AC19" s="48">
        <f t="shared" ca="1" si="28"/>
        <v>1</v>
      </c>
      <c r="AD19" s="48">
        <f t="shared" ca="1" si="29"/>
        <v>5</v>
      </c>
    </row>
    <row r="20" spans="1:30" x14ac:dyDescent="0.3">
      <c r="A20">
        <v>9</v>
      </c>
      <c r="B20" s="37">
        <f t="shared" ca="1" si="30"/>
        <v>0.21129928458634251</v>
      </c>
      <c r="C20" t="str">
        <f t="shared" ca="1" si="1"/>
        <v>Norte</v>
      </c>
      <c r="D20" s="37">
        <f t="shared" ca="1" si="31"/>
        <v>0.87085003668784411</v>
      </c>
      <c r="E20">
        <f t="shared" ca="1" si="2"/>
        <v>50</v>
      </c>
      <c r="F20">
        <f t="shared" ca="1" si="3"/>
        <v>0</v>
      </c>
      <c r="G20">
        <f t="shared" ca="1" si="4"/>
        <v>50</v>
      </c>
      <c r="H20" t="str">
        <f t="shared" ca="1" si="32"/>
        <v>Norte</v>
      </c>
      <c r="I20" s="37">
        <f t="shared" ca="1" si="33"/>
        <v>0.51932824067018979</v>
      </c>
      <c r="J20" s="32" t="str">
        <f t="shared" ca="1" si="5"/>
        <v>SI</v>
      </c>
      <c r="K20" s="37">
        <f t="shared" ca="1" si="6"/>
        <v>0.90545972319578583</v>
      </c>
      <c r="L20" t="str">
        <f t="shared" ca="1" si="7"/>
        <v>Oeste</v>
      </c>
      <c r="M20" s="37">
        <f t="shared" ca="1" si="34"/>
        <v>0.11457855367372316</v>
      </c>
      <c r="N20">
        <f t="shared" ca="1" si="8"/>
        <v>20</v>
      </c>
      <c r="O20">
        <f t="shared" ca="1" si="9"/>
        <v>-20</v>
      </c>
      <c r="P20">
        <f t="shared" ca="1" si="10"/>
        <v>50</v>
      </c>
      <c r="Q20" t="str">
        <f t="shared" ca="1" si="23"/>
        <v>Norte</v>
      </c>
      <c r="R20" s="37">
        <f t="shared" ca="1" si="24"/>
        <v>0.69954301908894678</v>
      </c>
      <c r="S20" s="32" t="str">
        <f t="shared" ca="1" si="11"/>
        <v>SI</v>
      </c>
      <c r="T20" s="37">
        <f t="shared" ca="1" si="12"/>
        <v>0.56933703919858281</v>
      </c>
      <c r="U20" t="str">
        <f t="shared" ca="1" si="13"/>
        <v>Sur</v>
      </c>
      <c r="V20" s="37">
        <f t="shared" ca="1" si="35"/>
        <v>0.71403571880273697</v>
      </c>
      <c r="W20">
        <f t="shared" ca="1" si="14"/>
        <v>40</v>
      </c>
      <c r="X20">
        <f t="shared" ca="1" si="15"/>
        <v>-20</v>
      </c>
      <c r="Y20">
        <f t="shared" ca="1" si="16"/>
        <v>10</v>
      </c>
      <c r="Z20" t="str">
        <f t="shared" ca="1" si="26"/>
        <v>Norte</v>
      </c>
      <c r="AA20" s="37">
        <f t="shared" ca="1" si="27"/>
        <v>8.5481579777362926E-2</v>
      </c>
      <c r="AB20" s="47" t="str">
        <f t="shared" ca="1" si="17"/>
        <v>SI</v>
      </c>
      <c r="AC20" s="48">
        <f t="shared" ca="1" si="28"/>
        <v>3</v>
      </c>
      <c r="AD20" s="48">
        <f t="shared" ca="1" si="29"/>
        <v>6</v>
      </c>
    </row>
    <row r="21" spans="1:30" x14ac:dyDescent="0.3">
      <c r="A21">
        <v>10</v>
      </c>
      <c r="B21" s="37">
        <f t="shared" ca="1" si="30"/>
        <v>0.18795167833986237</v>
      </c>
      <c r="C21" t="str">
        <f t="shared" ca="1" si="1"/>
        <v>Norte</v>
      </c>
      <c r="D21" s="37">
        <f t="shared" ca="1" si="31"/>
        <v>0.85465091088903788</v>
      </c>
      <c r="E21">
        <f t="shared" ca="1" si="2"/>
        <v>50</v>
      </c>
      <c r="F21">
        <f t="shared" ca="1" si="3"/>
        <v>0</v>
      </c>
      <c r="G21">
        <f t="shared" ca="1" si="4"/>
        <v>50</v>
      </c>
      <c r="H21" t="str">
        <f t="shared" ca="1" si="32"/>
        <v>Norte</v>
      </c>
      <c r="I21" s="37">
        <f t="shared" ca="1" si="33"/>
        <v>0.18680505709273931</v>
      </c>
      <c r="J21" s="32" t="str">
        <f t="shared" ca="1" si="5"/>
        <v>SI</v>
      </c>
      <c r="K21" s="37">
        <f t="shared" ca="1" si="6"/>
        <v>0.97031190703004455</v>
      </c>
      <c r="L21" t="str">
        <f t="shared" ca="1" si="7"/>
        <v>Oeste</v>
      </c>
      <c r="M21" s="37">
        <f t="shared" ca="1" si="34"/>
        <v>0.95100411975367061</v>
      </c>
      <c r="N21">
        <f t="shared" ca="1" si="8"/>
        <v>50</v>
      </c>
      <c r="O21">
        <f t="shared" ca="1" si="9"/>
        <v>-50</v>
      </c>
      <c r="P21">
        <f t="shared" ca="1" si="10"/>
        <v>50</v>
      </c>
      <c r="Q21" t="str">
        <f t="shared" ca="1" si="23"/>
        <v>Norte</v>
      </c>
      <c r="R21" s="37">
        <f t="shared" ca="1" si="24"/>
        <v>0.28811257590070283</v>
      </c>
      <c r="S21" s="32" t="str">
        <f t="shared" ca="1" si="11"/>
        <v>SI</v>
      </c>
      <c r="T21" s="37">
        <f t="shared" ca="1" si="12"/>
        <v>0.11502790337689472</v>
      </c>
      <c r="U21" t="str">
        <f t="shared" ca="1" si="13"/>
        <v>Norte</v>
      </c>
      <c r="V21" s="37">
        <f t="shared" ca="1" si="35"/>
        <v>0.53146379649682585</v>
      </c>
      <c r="W21">
        <f t="shared" ca="1" si="14"/>
        <v>40</v>
      </c>
      <c r="X21">
        <f t="shared" ca="1" si="15"/>
        <v>-50</v>
      </c>
      <c r="Y21">
        <f t="shared" ca="1" si="16"/>
        <v>90</v>
      </c>
      <c r="Z21" t="str">
        <f t="shared" ca="1" si="26"/>
        <v>Norte</v>
      </c>
      <c r="AA21" s="37">
        <f t="shared" ca="1" si="27"/>
        <v>0.46997902248450096</v>
      </c>
      <c r="AB21" s="47" t="str">
        <f t="shared" ca="1" si="17"/>
        <v>SI</v>
      </c>
      <c r="AC21" s="48">
        <f t="shared" ca="1" si="28"/>
        <v>3</v>
      </c>
      <c r="AD21" s="48">
        <f t="shared" ca="1" si="29"/>
        <v>7</v>
      </c>
    </row>
    <row r="22" spans="1:30" x14ac:dyDescent="0.3">
      <c r="AD22" s="37"/>
    </row>
    <row r="23" spans="1:30" x14ac:dyDescent="0.3">
      <c r="O23" t="s">
        <v>27</v>
      </c>
      <c r="Q23">
        <f ca="1">AD21</f>
        <v>7</v>
      </c>
    </row>
  </sheetData>
  <mergeCells count="2">
    <mergeCell ref="AC10:AC11"/>
    <mergeCell ref="AD10:A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17</vt:i4>
      </vt:variant>
    </vt:vector>
  </HeadingPairs>
  <TitlesOfParts>
    <vt:vector size="18" baseType="lpstr">
      <vt:lpstr>Dron - Primer turno</vt:lpstr>
      <vt:lpstr>Acierto_C</vt:lpstr>
      <vt:lpstr>Acierto_N</vt:lpstr>
      <vt:lpstr>Acierto_S</vt:lpstr>
      <vt:lpstr>Direccion</vt:lpstr>
      <vt:lpstr>este</vt:lpstr>
      <vt:lpstr>L_inferior</vt:lpstr>
      <vt:lpstr>L_longitud</vt:lpstr>
      <vt:lpstr>Longitud</vt:lpstr>
      <vt:lpstr>Mov_X</vt:lpstr>
      <vt:lpstr>Mov_Y</vt:lpstr>
      <vt:lpstr>Movim</vt:lpstr>
      <vt:lpstr>norte</vt:lpstr>
      <vt:lpstr>oeste</vt:lpstr>
      <vt:lpstr>Si_No</vt:lpstr>
      <vt:lpstr>sur</vt:lpstr>
      <vt:lpstr>X_inicial</vt:lpstr>
      <vt:lpstr>Y_inicial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Sergio</cp:lastModifiedBy>
  <dcterms:created xsi:type="dcterms:W3CDTF">2019-04-02T20:34:59Z</dcterms:created>
  <dcterms:modified xsi:type="dcterms:W3CDTF">2023-05-14T14:22:29Z</dcterms:modified>
</cp:coreProperties>
</file>