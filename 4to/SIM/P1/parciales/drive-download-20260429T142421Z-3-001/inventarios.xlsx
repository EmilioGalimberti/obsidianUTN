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malamud/Documents/tomi/UTN/SIM/ejercicios/parcial 1/"/>
    </mc:Choice>
  </mc:AlternateContent>
  <xr:revisionPtr revIDLastSave="0" documentId="13_ncr:1_{69E40A42-AB0E-6943-807F-C689279EDC5D}" xr6:coauthVersionLast="47" xr6:coauthVersionMax="47" xr10:uidLastSave="{00000000-0000-0000-0000-000000000000}"/>
  <bookViews>
    <workbookView xWindow="0" yWindow="0" windowWidth="25600" windowHeight="16000" activeTab="1" xr2:uid="{F566207C-B366-9346-BB67-6EBF99A37D08}"/>
  </bookViews>
  <sheets>
    <sheet name="Amortiguadores" sheetId="1" r:id="rId1"/>
    <sheet name="Genéric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E20" i="2"/>
  <c r="J20" i="2"/>
  <c r="I20" i="2"/>
  <c r="I19" i="2"/>
  <c r="L20" i="2"/>
  <c r="K20" i="2"/>
  <c r="M20" i="2" s="1"/>
  <c r="L19" i="2"/>
  <c r="K19" i="2"/>
  <c r="N17" i="2"/>
  <c r="N18" i="2" s="1"/>
  <c r="I18" i="2"/>
  <c r="K18" i="2" s="1"/>
  <c r="M18" i="2" s="1"/>
  <c r="L18" i="2"/>
  <c r="I17" i="2"/>
  <c r="K17" i="2" s="1"/>
  <c r="M17" i="2" s="1"/>
  <c r="L17" i="2"/>
  <c r="H19" i="2"/>
  <c r="H18" i="2"/>
  <c r="H17" i="2"/>
  <c r="J19" i="2"/>
  <c r="J18" i="2"/>
  <c r="J17" i="2"/>
  <c r="L16" i="2"/>
  <c r="L15" i="2"/>
  <c r="L14" i="2"/>
  <c r="M14" i="2" s="1"/>
  <c r="L13" i="2"/>
  <c r="L12" i="2"/>
  <c r="M16" i="2"/>
  <c r="K16" i="2"/>
  <c r="J16" i="2"/>
  <c r="H16" i="2"/>
  <c r="H12" i="2"/>
  <c r="H13" i="2"/>
  <c r="H14" i="2"/>
  <c r="I15" i="2" s="1"/>
  <c r="H15" i="2"/>
  <c r="G16" i="2"/>
  <c r="E16" i="2"/>
  <c r="J15" i="2"/>
  <c r="K14" i="2"/>
  <c r="J14" i="2"/>
  <c r="I14" i="2"/>
  <c r="K12" i="2"/>
  <c r="M12" i="2" s="1"/>
  <c r="K13" i="2"/>
  <c r="K21" i="1"/>
  <c r="K20" i="1"/>
  <c r="K19" i="1"/>
  <c r="K18" i="1"/>
  <c r="K17" i="1"/>
  <c r="K16" i="1"/>
  <c r="K14" i="1"/>
  <c r="K13" i="1"/>
  <c r="K12" i="1"/>
  <c r="K15" i="1"/>
  <c r="I11" i="2"/>
  <c r="M2" i="2"/>
  <c r="L3" i="2" s="1"/>
  <c r="H2" i="2"/>
  <c r="G3" i="2" s="1"/>
  <c r="H3" i="2" s="1"/>
  <c r="G4" i="2" s="1"/>
  <c r="G20" i="1"/>
  <c r="E20" i="1"/>
  <c r="C16" i="1"/>
  <c r="C21" i="1"/>
  <c r="C20" i="1"/>
  <c r="C19" i="1"/>
  <c r="C18" i="1"/>
  <c r="C17" i="1"/>
  <c r="L21" i="1"/>
  <c r="L20" i="1"/>
  <c r="L19" i="1"/>
  <c r="L18" i="1"/>
  <c r="L17" i="1"/>
  <c r="I13" i="1"/>
  <c r="E16" i="1"/>
  <c r="F13" i="1"/>
  <c r="J13" i="1" s="1"/>
  <c r="C15" i="1"/>
  <c r="C14" i="1"/>
  <c r="F12" i="1"/>
  <c r="J12" i="1" s="1"/>
  <c r="I12" i="1"/>
  <c r="L13" i="1"/>
  <c r="E13" i="1"/>
  <c r="C13" i="1"/>
  <c r="L12" i="1"/>
  <c r="I11" i="1"/>
  <c r="C12" i="1"/>
  <c r="M2" i="1"/>
  <c r="L3" i="1" s="1"/>
  <c r="M3" i="1" s="1"/>
  <c r="L4" i="1" s="1"/>
  <c r="M4" i="1" s="1"/>
  <c r="L5" i="1" s="1"/>
  <c r="M5" i="1" s="1"/>
  <c r="H2" i="1"/>
  <c r="G3" i="1" s="1"/>
  <c r="H3" i="1" s="1"/>
  <c r="G4" i="1" s="1"/>
  <c r="M19" i="2" l="1"/>
  <c r="N19" i="2" s="1"/>
  <c r="N20" i="2" s="1"/>
  <c r="I16" i="2"/>
  <c r="K15" i="2"/>
  <c r="M15" i="2" s="1"/>
  <c r="M12" i="1"/>
  <c r="N12" i="1" s="1"/>
  <c r="H4" i="2"/>
  <c r="G5" i="2" s="1"/>
  <c r="H5" i="2" s="1"/>
  <c r="G6" i="2" s="1"/>
  <c r="H6" i="2" s="1"/>
  <c r="C20" i="2"/>
  <c r="C18" i="2"/>
  <c r="M3" i="2"/>
  <c r="L4" i="2" s="1"/>
  <c r="M4" i="2" s="1"/>
  <c r="I14" i="1"/>
  <c r="G13" i="1"/>
  <c r="G12" i="1"/>
  <c r="H12" i="1" s="1"/>
  <c r="F14" i="1"/>
  <c r="J14" i="1" s="1"/>
  <c r="M13" i="1"/>
  <c r="N13" i="1" s="1"/>
  <c r="H4" i="1"/>
  <c r="G5" i="1" s="1"/>
  <c r="H5" i="1" s="1"/>
  <c r="G6" i="1" s="1"/>
  <c r="H6" i="1" s="1"/>
  <c r="C19" i="2" l="1"/>
  <c r="C13" i="2"/>
  <c r="C12" i="2"/>
  <c r="I12" i="2" s="1"/>
  <c r="C17" i="2"/>
  <c r="C15" i="2"/>
  <c r="E13" i="2"/>
  <c r="C16" i="2"/>
  <c r="C14" i="2"/>
  <c r="G14" i="1"/>
  <c r="H13" i="1"/>
  <c r="I15" i="1"/>
  <c r="L14" i="1"/>
  <c r="M14" i="1" s="1"/>
  <c r="N14" i="1" s="1"/>
  <c r="I13" i="2" l="1"/>
  <c r="F12" i="2"/>
  <c r="H14" i="1"/>
  <c r="F15" i="1"/>
  <c r="J15" i="1" s="1"/>
  <c r="G15" i="1"/>
  <c r="L15" i="1"/>
  <c r="J12" i="2" l="1"/>
  <c r="N12" i="2" s="1"/>
  <c r="G12" i="2"/>
  <c r="F13" i="2"/>
  <c r="M15" i="1"/>
  <c r="N15" i="1" s="1"/>
  <c r="H15" i="1"/>
  <c r="G13" i="2" l="1"/>
  <c r="J13" i="2"/>
  <c r="M13" i="2" s="1"/>
  <c r="N13" i="2" s="1"/>
  <c r="N14" i="2" s="1"/>
  <c r="N15" i="2" s="1"/>
  <c r="N16" i="2" s="1"/>
  <c r="L16" i="1" l="1"/>
  <c r="F17" i="1"/>
  <c r="J17" i="1" s="1"/>
  <c r="M17" i="1" s="1"/>
  <c r="H16" i="1"/>
  <c r="F16" i="1"/>
  <c r="J16" i="1" s="1"/>
  <c r="M16" i="1" s="1"/>
  <c r="N16" i="1" s="1"/>
  <c r="G16" i="1"/>
  <c r="G17" i="1" s="1"/>
  <c r="N25" i="2" l="1"/>
  <c r="N17" i="1"/>
  <c r="F18" i="1"/>
  <c r="J18" i="1" s="1"/>
  <c r="M18" i="1" s="1"/>
  <c r="N18" i="1" s="1"/>
  <c r="H17" i="1"/>
  <c r="G18" i="1" l="1"/>
  <c r="G19" i="1" l="1"/>
  <c r="H18" i="1"/>
  <c r="J19" i="1"/>
  <c r="M19" i="1" s="1"/>
  <c r="N19" i="1" s="1"/>
  <c r="H19" i="1" l="1"/>
  <c r="J20" i="1"/>
  <c r="M20" i="1" s="1"/>
  <c r="N20" i="1" s="1"/>
  <c r="G21" i="1" l="1"/>
  <c r="H21" i="1" s="1"/>
  <c r="F21" i="1"/>
  <c r="J21" i="1" s="1"/>
  <c r="M21" i="1" s="1"/>
  <c r="N21" i="1" s="1"/>
  <c r="N25" i="1" s="1"/>
  <c r="H20" i="1"/>
</calcChain>
</file>

<file path=xl/sharedStrings.xml><?xml version="1.0" encoding="utf-8"?>
<sst xmlns="http://schemas.openxmlformats.org/spreadsheetml/2006/main" count="67" uniqueCount="28">
  <si>
    <t>Q</t>
  </si>
  <si>
    <t>R</t>
  </si>
  <si>
    <t>Stock inicial</t>
  </si>
  <si>
    <t>Demanda</t>
  </si>
  <si>
    <t>Probabilidad</t>
  </si>
  <si>
    <t>Desde</t>
  </si>
  <si>
    <t>Hasta</t>
  </si>
  <si>
    <t>Demora</t>
  </si>
  <si>
    <t>Costo pedido</t>
  </si>
  <si>
    <t>stockout</t>
  </si>
  <si>
    <t>mantenimiento</t>
  </si>
  <si>
    <t>Semana</t>
  </si>
  <si>
    <t>rnd_demora</t>
  </si>
  <si>
    <t>demora</t>
  </si>
  <si>
    <t>demanda</t>
  </si>
  <si>
    <t>rnd demanda</t>
  </si>
  <si>
    <t>Orden Pedido</t>
  </si>
  <si>
    <t>Llegada pedido</t>
  </si>
  <si>
    <t>Disponible</t>
  </si>
  <si>
    <t>Stock</t>
  </si>
  <si>
    <t>Costo Pedido</t>
  </si>
  <si>
    <t>Stockout</t>
  </si>
  <si>
    <t>Mantenimiento</t>
  </si>
  <si>
    <t>Costo total</t>
  </si>
  <si>
    <t>Costo acumulado</t>
  </si>
  <si>
    <t>SI</t>
  </si>
  <si>
    <t>NO</t>
  </si>
  <si>
    <t>COSTO PROMEDIO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</si>
</sst>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\ * #,##0.00_);_(&quot;$&quot;\ * \(#,##0.00\);_(&quot;$&quot;\ * &quot;-&quot;??_);_(@_)"/>
    <numFmt numFmtId="165" formatCode="&quot;$&quot;\ #,##0.00"/>
  </numFmts>
  <fonts count="3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5" fontId="0" fillId="0" borderId="0" xfId="0" applyNumberFormat="1"/>
    <xf numFmtId="165" fontId="0" fillId="0" borderId="0" xfId="1" applyNumberFormat="1" applyFont="1"/>
    <xf numFmtId="165" fontId="2" fillId="0" borderId="0" xfId="0" applyNumberFormat="1" applyFont="1"/>
    <xf numFmtId="165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5B35-85A4-3A4F-8812-04E57A55ADDB}">
  <dimension ref="A1:N26"/>
  <sheetViews>
    <sheetView workbookViewId="0">
      <selection activeCell="K21" sqref="K12:K21"/>
    </sheetView>
  </sheetViews>
  <sheetFormatPr baseColWidth="10" defaultRowHeight="19" x14ac:dyDescent="0.25"/>
  <cols>
    <col min="1" max="1" width="13.140625" bestFit="1" customWidth="1"/>
    <col min="2" max="2" width="12.7109375" bestFit="1" customWidth="1"/>
    <col min="3" max="3" width="8.5703125" bestFit="1" customWidth="1"/>
    <col min="4" max="4" width="10.5703125" bestFit="1" customWidth="1"/>
    <col min="5" max="5" width="8.85546875" bestFit="1" customWidth="1"/>
    <col min="6" max="6" width="11.7109375" bestFit="1" customWidth="1"/>
    <col min="7" max="7" width="13" bestFit="1" customWidth="1"/>
    <col min="8" max="8" width="9.42578125" bestFit="1" customWidth="1"/>
    <col min="9" max="9" width="5.42578125" bestFit="1" customWidth="1"/>
    <col min="10" max="10" width="11.5703125" bestFit="1" customWidth="1"/>
    <col min="11" max="11" width="12.28515625" bestFit="1" customWidth="1"/>
    <col min="12" max="12" width="13" bestFit="1" customWidth="1"/>
    <col min="13" max="13" width="12.7109375" bestFit="1" customWidth="1"/>
    <col min="14" max="14" width="15.140625" bestFit="1" customWidth="1"/>
  </cols>
  <sheetData>
    <row r="1" spans="1:14" x14ac:dyDescent="0.25">
      <c r="A1" s="1" t="s">
        <v>0</v>
      </c>
      <c r="B1">
        <v>10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4</v>
      </c>
      <c r="L1" t="s">
        <v>5</v>
      </c>
      <c r="M1" t="s">
        <v>6</v>
      </c>
    </row>
    <row r="2" spans="1:14" x14ac:dyDescent="0.25">
      <c r="A2" s="1" t="s">
        <v>1</v>
      </c>
      <c r="B2">
        <v>5</v>
      </c>
      <c r="E2">
        <v>1</v>
      </c>
      <c r="F2">
        <v>0.05</v>
      </c>
      <c r="G2">
        <v>0</v>
      </c>
      <c r="H2">
        <f>+F2</f>
        <v>0.05</v>
      </c>
      <c r="J2">
        <v>2</v>
      </c>
      <c r="K2">
        <v>0.2</v>
      </c>
      <c r="L2">
        <v>0</v>
      </c>
      <c r="M2">
        <f>+K2+L2</f>
        <v>0.2</v>
      </c>
    </row>
    <row r="3" spans="1:14" x14ac:dyDescent="0.25">
      <c r="A3" s="1" t="s">
        <v>2</v>
      </c>
      <c r="B3">
        <v>15</v>
      </c>
      <c r="E3">
        <v>2</v>
      </c>
      <c r="F3">
        <v>0.25</v>
      </c>
      <c r="G3">
        <f>+H2</f>
        <v>0.05</v>
      </c>
      <c r="H3">
        <f>+G3+F3</f>
        <v>0.3</v>
      </c>
      <c r="J3">
        <v>3</v>
      </c>
      <c r="K3">
        <v>0.5</v>
      </c>
      <c r="L3">
        <f>+M2</f>
        <v>0.2</v>
      </c>
      <c r="M3">
        <f t="shared" ref="M3:M5" si="0">+K3+L3</f>
        <v>0.7</v>
      </c>
    </row>
    <row r="4" spans="1:14" x14ac:dyDescent="0.25">
      <c r="E4">
        <v>3</v>
      </c>
      <c r="F4">
        <v>0.35</v>
      </c>
      <c r="G4">
        <f t="shared" ref="G4:G6" si="1">+H3</f>
        <v>0.3</v>
      </c>
      <c r="H4">
        <f>+G4+F4</f>
        <v>0.64999999999999991</v>
      </c>
      <c r="J4">
        <v>4</v>
      </c>
      <c r="K4">
        <v>0.2</v>
      </c>
      <c r="L4">
        <f t="shared" ref="L4:L5" si="2">+M3</f>
        <v>0.7</v>
      </c>
      <c r="M4">
        <f t="shared" si="0"/>
        <v>0.89999999999999991</v>
      </c>
    </row>
    <row r="5" spans="1:14" x14ac:dyDescent="0.25">
      <c r="A5" s="1" t="s">
        <v>8</v>
      </c>
      <c r="B5" s="3">
        <v>200000</v>
      </c>
      <c r="E5">
        <v>4</v>
      </c>
      <c r="F5">
        <v>0.2</v>
      </c>
      <c r="G5">
        <f t="shared" si="1"/>
        <v>0.64999999999999991</v>
      </c>
      <c r="H5">
        <f>+G5+F5</f>
        <v>0.84999999999999987</v>
      </c>
      <c r="J5">
        <v>5</v>
      </c>
      <c r="K5">
        <v>0.1</v>
      </c>
      <c r="L5">
        <f t="shared" si="2"/>
        <v>0.89999999999999991</v>
      </c>
      <c r="M5">
        <f t="shared" si="0"/>
        <v>0.99999999999999989</v>
      </c>
    </row>
    <row r="6" spans="1:14" x14ac:dyDescent="0.25">
      <c r="A6" s="1" t="s">
        <v>9</v>
      </c>
      <c r="B6" s="3">
        <v>10000</v>
      </c>
      <c r="E6">
        <v>5</v>
      </c>
      <c r="F6">
        <v>0.15</v>
      </c>
      <c r="G6">
        <f t="shared" si="1"/>
        <v>0.84999999999999987</v>
      </c>
      <c r="H6">
        <f>+G6+F6</f>
        <v>0.99999999999999989</v>
      </c>
    </row>
    <row r="7" spans="1:14" x14ac:dyDescent="0.25">
      <c r="A7" s="1" t="s">
        <v>10</v>
      </c>
      <c r="B7" s="3">
        <v>15000</v>
      </c>
    </row>
    <row r="10" spans="1:14" x14ac:dyDescent="0.25">
      <c r="A10" t="s">
        <v>11</v>
      </c>
      <c r="B10" t="s">
        <v>15</v>
      </c>
      <c r="C10" t="s">
        <v>14</v>
      </c>
      <c r="D10" t="s">
        <v>12</v>
      </c>
      <c r="E10" t="s">
        <v>13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</row>
    <row r="11" spans="1:14" x14ac:dyDescent="0.25">
      <c r="A11">
        <v>0</v>
      </c>
      <c r="I11">
        <f>+B3</f>
        <v>15</v>
      </c>
    </row>
    <row r="12" spans="1:14" x14ac:dyDescent="0.25">
      <c r="A12">
        <v>1</v>
      </c>
      <c r="B12">
        <v>0.89</v>
      </c>
      <c r="C12">
        <f>+LOOKUP(B12,$G$2:$G$6,$E$2:$E$6)</f>
        <v>5</v>
      </c>
      <c r="F12" t="str">
        <f>+IF(I12&lt;=$B$2, "SI", "NO")</f>
        <v>NO</v>
      </c>
      <c r="G12" t="str">
        <f>+IF($F12="NO","-", E12+A12)</f>
        <v>-</v>
      </c>
      <c r="H12" t="str">
        <f>+IF(ISNUMBER(G12),$B$1,"-")</f>
        <v>-</v>
      </c>
      <c r="I12">
        <f>+I11-C12</f>
        <v>10</v>
      </c>
      <c r="J12" s="2">
        <f>+IF($F12="NO",0, $B$5)</f>
        <v>0</v>
      </c>
      <c r="K12" s="2">
        <f t="shared" ref="K12:K21" si="3">IF(I12&lt;0,-I12*$B$6,0)</f>
        <v>0</v>
      </c>
      <c r="L12" s="2">
        <f>+I12*$B$7</f>
        <v>150000</v>
      </c>
      <c r="M12" s="2">
        <f>+L12+J12+K12</f>
        <v>150000</v>
      </c>
      <c r="N12" s="2">
        <f>+N11+M12</f>
        <v>150000</v>
      </c>
    </row>
    <row r="13" spans="1:14" x14ac:dyDescent="0.25">
      <c r="A13">
        <v>2</v>
      </c>
      <c r="B13">
        <v>0.93</v>
      </c>
      <c r="C13">
        <f>+LOOKUP(B13,$G$2:$G$6,$E$2:$E$6)</f>
        <v>5</v>
      </c>
      <c r="D13">
        <v>0.48</v>
      </c>
      <c r="E13">
        <f>+LOOKUP(D13,$L$2:$L$5,$J$2:$J$5)</f>
        <v>3</v>
      </c>
      <c r="F13" t="str">
        <f>+IF(I13&lt;=$B$2, "SI", "NO")</f>
        <v>SI</v>
      </c>
      <c r="G13">
        <f>+IF($F13="NO","-", E13+A13)</f>
        <v>5</v>
      </c>
      <c r="H13">
        <f t="shared" ref="H13:H21" si="4">+IF(ISNUMBER(G13),$B$1,"-")</f>
        <v>10</v>
      </c>
      <c r="I13">
        <f t="shared" ref="I13:I16" si="5">+I12-C13</f>
        <v>5</v>
      </c>
      <c r="J13" s="2">
        <f>+IF($F13="NO",0, $B$5)</f>
        <v>200000</v>
      </c>
      <c r="K13" s="2">
        <f t="shared" si="3"/>
        <v>0</v>
      </c>
      <c r="L13" s="2">
        <f>+I13*$B$7</f>
        <v>75000</v>
      </c>
      <c r="M13" s="2">
        <f>+L13+J13+K13</f>
        <v>275000</v>
      </c>
      <c r="N13" s="2">
        <f>+N12+M13</f>
        <v>425000</v>
      </c>
    </row>
    <row r="14" spans="1:14" x14ac:dyDescent="0.25">
      <c r="A14">
        <v>3</v>
      </c>
      <c r="B14">
        <v>0.51</v>
      </c>
      <c r="C14">
        <f>+LOOKUP(B14,$G$2:$G$6,$E$2:$E$6)</f>
        <v>3</v>
      </c>
      <c r="F14" t="str">
        <f>IF(G13=A14,IF(I14&lt;=$B$2, "SI", "NO"),"NO")</f>
        <v>NO</v>
      </c>
      <c r="G14">
        <f>IF(G13=A14,IF($F14="NO","-", E14+A14),G13)</f>
        <v>5</v>
      </c>
      <c r="H14">
        <f t="shared" si="4"/>
        <v>10</v>
      </c>
      <c r="I14">
        <f t="shared" si="5"/>
        <v>2</v>
      </c>
      <c r="J14" s="2">
        <f>+IF($F14="NO",0, $B$5)</f>
        <v>0</v>
      </c>
      <c r="K14" s="2">
        <f t="shared" si="3"/>
        <v>0</v>
      </c>
      <c r="L14" s="2">
        <f>+I14*$B$7</f>
        <v>30000</v>
      </c>
      <c r="M14" s="2">
        <f>+L14+J14+K14</f>
        <v>30000</v>
      </c>
      <c r="N14" s="2">
        <f>+N13+M14</f>
        <v>455000</v>
      </c>
    </row>
    <row r="15" spans="1:14" x14ac:dyDescent="0.25">
      <c r="A15">
        <v>4</v>
      </c>
      <c r="B15">
        <v>0.7</v>
      </c>
      <c r="C15">
        <f>+LOOKUP(B15,$G$2:$G$6,$E$2:$E$6)</f>
        <v>4</v>
      </c>
      <c r="F15" t="str">
        <f>IF(G14=A15,IF(I15&lt;=$B$2, "SI", "NO"),"NO")</f>
        <v>NO</v>
      </c>
      <c r="G15">
        <f t="shared" ref="G15:G16" si="6">IF(G14=A15,IF($F15="NO","-", E15+A15),G14)</f>
        <v>5</v>
      </c>
      <c r="H15">
        <f t="shared" si="4"/>
        <v>10</v>
      </c>
      <c r="I15">
        <f t="shared" si="5"/>
        <v>-2</v>
      </c>
      <c r="J15" s="2">
        <f>+IF($F15="NO",0, $B$5)</f>
        <v>0</v>
      </c>
      <c r="K15" s="2">
        <f>IF(I15&lt;0,-I15*$B$6,0)</f>
        <v>20000</v>
      </c>
      <c r="L15" s="2">
        <f>IF(I15&gt;0,I15*$B$7,0)</f>
        <v>0</v>
      </c>
      <c r="M15" s="2">
        <f>+L15+J15+K15</f>
        <v>20000</v>
      </c>
      <c r="N15" s="2">
        <f>+N14+M15</f>
        <v>475000</v>
      </c>
    </row>
    <row r="16" spans="1:14" x14ac:dyDescent="0.25">
      <c r="A16">
        <v>5</v>
      </c>
      <c r="B16">
        <v>0.98</v>
      </c>
      <c r="C16">
        <f>+LOOKUP(B16,$G$2:$G$6,$E$2:$E$6)</f>
        <v>5</v>
      </c>
      <c r="D16">
        <v>0.15</v>
      </c>
      <c r="E16">
        <f>+LOOKUP(D16,$L$2:$L$5,$J$2:$J$5)</f>
        <v>2</v>
      </c>
      <c r="F16" t="str">
        <f>IF(G15=A16,IF(I16&lt;=$B$2, "SI", "NO"),"NO")</f>
        <v>SI</v>
      </c>
      <c r="G16">
        <f t="shared" si="6"/>
        <v>7</v>
      </c>
      <c r="H16">
        <f t="shared" si="4"/>
        <v>10</v>
      </c>
      <c r="I16">
        <v>5</v>
      </c>
      <c r="J16" s="2">
        <f>+IF($F16="NO",0, $B$5)</f>
        <v>200000</v>
      </c>
      <c r="K16" s="2">
        <f t="shared" ref="K16:K21" si="7">IF(I16&lt;0,-I16*$B$6,0)</f>
        <v>0</v>
      </c>
      <c r="L16" s="2">
        <f t="shared" ref="L16:L21" si="8">IF(I16&gt;0,I16*$B$7,0)</f>
        <v>75000</v>
      </c>
      <c r="M16" s="2">
        <f t="shared" ref="M16:M21" si="9">+L16+J16+K16</f>
        <v>275000</v>
      </c>
      <c r="N16" s="2">
        <f t="shared" ref="N16:N21" si="10">+N15+M16</f>
        <v>750000</v>
      </c>
    </row>
    <row r="17" spans="1:14" x14ac:dyDescent="0.25">
      <c r="A17">
        <v>6</v>
      </c>
      <c r="B17">
        <v>0.48</v>
      </c>
      <c r="C17">
        <f t="shared" ref="C17:C21" si="11">+LOOKUP(B17,$G$2:$G$6,$E$2:$E$6)</f>
        <v>3</v>
      </c>
      <c r="F17" t="str">
        <f t="shared" ref="F17:F21" si="12">IF(G16=A17,IF(I17&lt;=$B$2, "SI", "NO"),"NO")</f>
        <v>NO</v>
      </c>
      <c r="G17">
        <f t="shared" ref="G17:G21" si="13">IF(G16=A17,IF($F17="NO","-", E17+A17),G16)</f>
        <v>7</v>
      </c>
      <c r="H17">
        <f t="shared" si="4"/>
        <v>10</v>
      </c>
      <c r="I17">
        <v>2</v>
      </c>
      <c r="J17" s="2">
        <f t="shared" ref="J17:J21" si="14">+IF($F17="NO",0, $B$5)</f>
        <v>0</v>
      </c>
      <c r="K17" s="2">
        <f t="shared" si="7"/>
        <v>0</v>
      </c>
      <c r="L17" s="2">
        <f t="shared" si="8"/>
        <v>30000</v>
      </c>
      <c r="M17" s="2">
        <f t="shared" si="9"/>
        <v>30000</v>
      </c>
      <c r="N17" s="2">
        <f t="shared" si="10"/>
        <v>780000</v>
      </c>
    </row>
    <row r="18" spans="1:14" x14ac:dyDescent="0.25">
      <c r="A18">
        <v>7</v>
      </c>
      <c r="B18">
        <v>0.26</v>
      </c>
      <c r="C18">
        <f t="shared" si="11"/>
        <v>2</v>
      </c>
      <c r="F18" t="str">
        <f t="shared" si="12"/>
        <v>NO</v>
      </c>
      <c r="G18" t="str">
        <f t="shared" si="13"/>
        <v>-</v>
      </c>
      <c r="H18" t="str">
        <f t="shared" si="4"/>
        <v>-</v>
      </c>
      <c r="I18">
        <v>10</v>
      </c>
      <c r="J18" s="2">
        <f t="shared" si="14"/>
        <v>0</v>
      </c>
      <c r="K18" s="2">
        <f t="shared" si="7"/>
        <v>0</v>
      </c>
      <c r="L18" s="2">
        <f t="shared" si="8"/>
        <v>150000</v>
      </c>
      <c r="M18" s="2">
        <f t="shared" si="9"/>
        <v>150000</v>
      </c>
      <c r="N18" s="2">
        <f t="shared" si="10"/>
        <v>930000</v>
      </c>
    </row>
    <row r="19" spans="1:14" x14ac:dyDescent="0.25">
      <c r="A19">
        <v>8</v>
      </c>
      <c r="B19">
        <v>0.79</v>
      </c>
      <c r="C19">
        <f t="shared" si="11"/>
        <v>4</v>
      </c>
      <c r="F19" t="s">
        <v>26</v>
      </c>
      <c r="G19" t="str">
        <f t="shared" si="13"/>
        <v>-</v>
      </c>
      <c r="H19" t="str">
        <f t="shared" si="4"/>
        <v>-</v>
      </c>
      <c r="I19">
        <v>6</v>
      </c>
      <c r="J19" s="2">
        <f t="shared" si="14"/>
        <v>0</v>
      </c>
      <c r="K19" s="2">
        <f t="shared" si="7"/>
        <v>0</v>
      </c>
      <c r="L19" s="2">
        <f t="shared" si="8"/>
        <v>90000</v>
      </c>
      <c r="M19" s="2">
        <f t="shared" si="9"/>
        <v>90000</v>
      </c>
      <c r="N19" s="2">
        <f t="shared" si="10"/>
        <v>1020000</v>
      </c>
    </row>
    <row r="20" spans="1:14" x14ac:dyDescent="0.25">
      <c r="A20">
        <v>9</v>
      </c>
      <c r="B20">
        <v>0.44</v>
      </c>
      <c r="C20">
        <f t="shared" si="11"/>
        <v>3</v>
      </c>
      <c r="D20">
        <v>0.19</v>
      </c>
      <c r="E20">
        <f>+LOOKUP(D20,$L$2:$L$5,$J$2:$J$5)</f>
        <v>2</v>
      </c>
      <c r="F20" t="s">
        <v>25</v>
      </c>
      <c r="G20">
        <f>+E20+A20</f>
        <v>11</v>
      </c>
      <c r="H20">
        <f t="shared" si="4"/>
        <v>10</v>
      </c>
      <c r="I20">
        <v>3</v>
      </c>
      <c r="J20" s="2">
        <f t="shared" si="14"/>
        <v>200000</v>
      </c>
      <c r="K20" s="2">
        <f t="shared" si="7"/>
        <v>0</v>
      </c>
      <c r="L20" s="2">
        <f t="shared" si="8"/>
        <v>45000</v>
      </c>
      <c r="M20" s="2">
        <f t="shared" si="9"/>
        <v>245000</v>
      </c>
      <c r="N20" s="2">
        <f t="shared" si="10"/>
        <v>1265000</v>
      </c>
    </row>
    <row r="21" spans="1:14" x14ac:dyDescent="0.25">
      <c r="A21">
        <v>10</v>
      </c>
      <c r="B21">
        <v>0.61</v>
      </c>
      <c r="C21">
        <f t="shared" si="11"/>
        <v>3</v>
      </c>
      <c r="F21" t="str">
        <f t="shared" si="12"/>
        <v>NO</v>
      </c>
      <c r="G21">
        <f t="shared" si="13"/>
        <v>11</v>
      </c>
      <c r="H21">
        <f t="shared" si="4"/>
        <v>10</v>
      </c>
      <c r="I21">
        <v>0</v>
      </c>
      <c r="J21" s="2">
        <f t="shared" si="14"/>
        <v>0</v>
      </c>
      <c r="K21" s="2">
        <f t="shared" si="7"/>
        <v>0</v>
      </c>
      <c r="L21" s="2">
        <f t="shared" si="8"/>
        <v>0</v>
      </c>
      <c r="M21" s="2">
        <f t="shared" si="9"/>
        <v>0</v>
      </c>
      <c r="N21" s="4">
        <f t="shared" si="10"/>
        <v>1265000</v>
      </c>
    </row>
    <row r="22" spans="1:14" x14ac:dyDescent="0.25">
      <c r="J22" s="2"/>
      <c r="K22" s="2"/>
      <c r="L22" s="2"/>
      <c r="M22" s="2"/>
      <c r="N22" s="2"/>
    </row>
    <row r="23" spans="1:14" x14ac:dyDescent="0.25">
      <c r="J23" s="2"/>
      <c r="K23" s="2"/>
      <c r="L23" s="2"/>
      <c r="M23" s="2"/>
      <c r="N23" s="2"/>
    </row>
    <row r="24" spans="1:14" x14ac:dyDescent="0.25">
      <c r="J24" s="2"/>
      <c r="K24" s="2"/>
      <c r="L24" s="2"/>
      <c r="M24" s="2"/>
      <c r="N24" s="2"/>
    </row>
    <row r="25" spans="1:14" x14ac:dyDescent="0.25">
      <c r="J25" s="2"/>
      <c r="K25" s="2"/>
      <c r="L25" s="5" t="s">
        <v>27</v>
      </c>
      <c r="M25" s="5"/>
      <c r="N25" s="2">
        <f>+MAX(N12:N23) / MAX(A12:A23)</f>
        <v>126500</v>
      </c>
    </row>
    <row r="26" spans="1:14" x14ac:dyDescent="0.25">
      <c r="J26" s="2"/>
      <c r="K26" s="2"/>
      <c r="L26" s="2"/>
      <c r="M26" s="2"/>
      <c r="N26" s="2"/>
    </row>
  </sheetData>
  <mergeCells count="1">
    <mergeCell ref="L25:M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2C76-5420-CD4B-9C53-74675FEEC69A}">
  <dimension ref="A1:N25"/>
  <sheetViews>
    <sheetView tabSelected="1" workbookViewId="0">
      <selection activeCell="I14" sqref="A10:N20"/>
    </sheetView>
  </sheetViews>
  <sheetFormatPr baseColWidth="10" defaultRowHeight="19" x14ac:dyDescent="0.25"/>
  <cols>
    <col min="1" max="1" width="13.42578125" bestFit="1" customWidth="1"/>
    <col min="2" max="2" width="11.5703125" bestFit="1" customWidth="1"/>
    <col min="3" max="3" width="8.5703125" bestFit="1" customWidth="1"/>
    <col min="4" max="4" width="10.5703125" bestFit="1" customWidth="1"/>
    <col min="5" max="5" width="8.85546875" bestFit="1" customWidth="1"/>
    <col min="6" max="6" width="11.7109375" bestFit="1" customWidth="1"/>
    <col min="7" max="7" width="13" bestFit="1" customWidth="1"/>
    <col min="8" max="8" width="9.42578125" bestFit="1" customWidth="1"/>
    <col min="9" max="9" width="5.42578125" bestFit="1" customWidth="1"/>
    <col min="10" max="11" width="11.5703125" bestFit="1" customWidth="1"/>
    <col min="12" max="12" width="13" bestFit="1" customWidth="1"/>
    <col min="13" max="13" width="11.5703125" bestFit="1" customWidth="1"/>
    <col min="14" max="14" width="15.140625" bestFit="1" customWidth="1"/>
  </cols>
  <sheetData>
    <row r="1" spans="1:14" x14ac:dyDescent="0.25">
      <c r="A1" s="1" t="s">
        <v>0</v>
      </c>
      <c r="B1">
        <v>15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4</v>
      </c>
      <c r="L1" t="s">
        <v>5</v>
      </c>
      <c r="M1" t="s">
        <v>6</v>
      </c>
    </row>
    <row r="2" spans="1:14" x14ac:dyDescent="0.25">
      <c r="A2" s="1" t="s">
        <v>1</v>
      </c>
      <c r="B2">
        <v>7</v>
      </c>
      <c r="E2">
        <v>3</v>
      </c>
      <c r="F2">
        <v>0.06</v>
      </c>
      <c r="G2">
        <v>0</v>
      </c>
      <c r="H2">
        <f>+F2</f>
        <v>0.06</v>
      </c>
      <c r="J2">
        <v>1</v>
      </c>
      <c r="K2">
        <v>0.43</v>
      </c>
      <c r="L2">
        <v>0</v>
      </c>
      <c r="M2">
        <f>+K2+L2</f>
        <v>0.43</v>
      </c>
    </row>
    <row r="3" spans="1:14" x14ac:dyDescent="0.25">
      <c r="A3" s="1" t="s">
        <v>2</v>
      </c>
      <c r="B3">
        <v>15</v>
      </c>
      <c r="E3">
        <v>4</v>
      </c>
      <c r="F3">
        <v>0.13</v>
      </c>
      <c r="G3">
        <f>+H2</f>
        <v>0.06</v>
      </c>
      <c r="H3">
        <f>+G3+F3</f>
        <v>0.19</v>
      </c>
      <c r="J3">
        <v>2</v>
      </c>
      <c r="K3">
        <v>0.32</v>
      </c>
      <c r="L3">
        <f>+M2</f>
        <v>0.43</v>
      </c>
      <c r="M3">
        <f t="shared" ref="M3:M5" si="0">+K3+L3</f>
        <v>0.75</v>
      </c>
    </row>
    <row r="4" spans="1:14" x14ac:dyDescent="0.25">
      <c r="E4">
        <v>5</v>
      </c>
      <c r="F4">
        <v>0.21</v>
      </c>
      <c r="G4">
        <f t="shared" ref="G4:G6" si="1">+H3</f>
        <v>0.19</v>
      </c>
      <c r="H4">
        <f>+G4+F4</f>
        <v>0.4</v>
      </c>
      <c r="J4">
        <v>3</v>
      </c>
      <c r="K4">
        <v>0.25</v>
      </c>
      <c r="L4">
        <f t="shared" ref="L4:L5" si="2">+M3</f>
        <v>0.75</v>
      </c>
      <c r="M4">
        <f t="shared" si="0"/>
        <v>1</v>
      </c>
    </row>
    <row r="5" spans="1:14" x14ac:dyDescent="0.25">
      <c r="A5" s="1" t="s">
        <v>8</v>
      </c>
      <c r="B5" s="3">
        <v>600</v>
      </c>
      <c r="E5">
        <v>6</v>
      </c>
      <c r="F5">
        <v>0.27</v>
      </c>
      <c r="G5">
        <f t="shared" si="1"/>
        <v>0.4</v>
      </c>
      <c r="H5">
        <f>+G5+F5</f>
        <v>0.67</v>
      </c>
    </row>
    <row r="6" spans="1:14" x14ac:dyDescent="0.25">
      <c r="A6" s="1" t="s">
        <v>9</v>
      </c>
      <c r="B6" s="3">
        <v>90</v>
      </c>
      <c r="E6">
        <v>7</v>
      </c>
      <c r="F6">
        <v>0.33</v>
      </c>
      <c r="G6">
        <f t="shared" si="1"/>
        <v>0.67</v>
      </c>
      <c r="H6">
        <f>+G6+F6</f>
        <v>1</v>
      </c>
    </row>
    <row r="7" spans="1:14" x14ac:dyDescent="0.25">
      <c r="A7" s="1" t="s">
        <v>10</v>
      </c>
      <c r="B7" s="3">
        <v>40</v>
      </c>
    </row>
    <row r="10" spans="1:14" x14ac:dyDescent="0.25">
      <c r="A10" t="s">
        <v>11</v>
      </c>
      <c r="B10" t="s">
        <v>15</v>
      </c>
      <c r="C10" t="s">
        <v>14</v>
      </c>
      <c r="D10" t="s">
        <v>12</v>
      </c>
      <c r="E10" t="s">
        <v>13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</row>
    <row r="11" spans="1:14" x14ac:dyDescent="0.25">
      <c r="A11">
        <v>0</v>
      </c>
      <c r="I11">
        <f>+B3</f>
        <v>15</v>
      </c>
    </row>
    <row r="12" spans="1:14" x14ac:dyDescent="0.25">
      <c r="A12">
        <v>1</v>
      </c>
      <c r="B12">
        <v>0.12</v>
      </c>
      <c r="C12">
        <f>+LOOKUP(B12,$G$2:$G$6,$E$2:$E$6)</f>
        <v>4</v>
      </c>
      <c r="F12" t="str">
        <f>+IF(I12&lt;=$B$2, "SI", "NO")</f>
        <v>NO</v>
      </c>
      <c r="G12" t="str">
        <f>+IF($F12="NO","-", E12+A12)</f>
        <v>-</v>
      </c>
      <c r="H12" t="str">
        <f>+IF(ISNUMBER(G12),$B$1,"")</f>
        <v/>
      </c>
      <c r="I12">
        <f>+I11-C12</f>
        <v>11</v>
      </c>
      <c r="J12" s="2">
        <f>+IF($F12="NO",0, $B$5)</f>
        <v>0</v>
      </c>
      <c r="K12" s="2">
        <f>IF(I12&lt;0,-I12*$B$6,0)</f>
        <v>0</v>
      </c>
      <c r="L12" s="2">
        <f>IF(I12&gt;0,I12*$B$7,0)</f>
        <v>440</v>
      </c>
      <c r="M12" s="2">
        <f>+L12+J12+K12</f>
        <v>440</v>
      </c>
      <c r="N12" s="2">
        <f>+N11+M12</f>
        <v>440</v>
      </c>
    </row>
    <row r="13" spans="1:14" x14ac:dyDescent="0.25">
      <c r="A13">
        <v>2</v>
      </c>
      <c r="B13">
        <v>0.67</v>
      </c>
      <c r="C13">
        <f>+LOOKUP(B13,$G$2:$G$6,$E$2:$E$6)</f>
        <v>7</v>
      </c>
      <c r="D13">
        <v>0.56000000000000005</v>
      </c>
      <c r="E13">
        <f>+LOOKUP(D13,$L$2:$L$5,$J$2:$J$5)</f>
        <v>2</v>
      </c>
      <c r="F13" t="str">
        <f>+IF(I13&lt;=$B$2, "SI", "NO")</f>
        <v>SI</v>
      </c>
      <c r="G13">
        <f>+IF($F13="NO","-", E13+A13)</f>
        <v>4</v>
      </c>
      <c r="H13">
        <f>+IF(ISNUMBER(G13),$B$1,"")</f>
        <v>15</v>
      </c>
      <c r="I13">
        <f t="shared" ref="I13:I16" si="3">+I12-C13</f>
        <v>4</v>
      </c>
      <c r="J13" s="2">
        <f>+IF($F13="NO",0, $B$5)</f>
        <v>600</v>
      </c>
      <c r="K13" s="2">
        <f>IF(I13&lt;0,-I13*$B$6,0)</f>
        <v>0</v>
      </c>
      <c r="L13" s="2">
        <f t="shared" ref="L13" si="4">IF(I13&gt;0,I13*$B$7,0)</f>
        <v>160</v>
      </c>
      <c r="M13" s="2">
        <f>+L13+J13+K13</f>
        <v>760</v>
      </c>
      <c r="N13" s="2">
        <f>+N12+M13</f>
        <v>1200</v>
      </c>
    </row>
    <row r="14" spans="1:14" x14ac:dyDescent="0.25">
      <c r="A14">
        <v>3</v>
      </c>
      <c r="B14">
        <v>0.77</v>
      </c>
      <c r="C14">
        <f>+LOOKUP(B14,$G$2:$G$6,$E$2:$E$6)</f>
        <v>7</v>
      </c>
      <c r="F14" t="s">
        <v>26</v>
      </c>
      <c r="G14">
        <v>4</v>
      </c>
      <c r="H14">
        <f>+IF(ISNUMBER(G14),$B$1,"")</f>
        <v>15</v>
      </c>
      <c r="I14">
        <f>+I13-C14</f>
        <v>-3</v>
      </c>
      <c r="J14" s="2">
        <f>+IF($F14="NO",0, $B$5)</f>
        <v>0</v>
      </c>
      <c r="K14" s="2">
        <f>IF(I14&lt;0,-I14*$B$6,0)</f>
        <v>270</v>
      </c>
      <c r="L14" s="2">
        <f>IF(I14&gt;0,I14*$B$7,0)</f>
        <v>0</v>
      </c>
      <c r="M14" s="2">
        <f>+L14+J14+K14</f>
        <v>270</v>
      </c>
      <c r="N14" s="2">
        <f>+N13+M14</f>
        <v>1470</v>
      </c>
    </row>
    <row r="15" spans="1:14" x14ac:dyDescent="0.25">
      <c r="A15">
        <v>4</v>
      </c>
      <c r="B15">
        <v>0.34</v>
      </c>
      <c r="C15">
        <f>+LOOKUP(B15,$G$2:$G$6,$E$2:$E$6)</f>
        <v>5</v>
      </c>
      <c r="F15" t="s">
        <v>26</v>
      </c>
      <c r="H15" t="str">
        <f>+IF(ISNUMBER(G15),$B$1,"")</f>
        <v/>
      </c>
      <c r="I15">
        <f>+H14-C15</f>
        <v>10</v>
      </c>
      <c r="J15" s="2">
        <f>+IF($F15="NO",0, $B$5)</f>
        <v>0</v>
      </c>
      <c r="K15" s="2">
        <f>IF(I15&lt;0,-I15*$B$6,0)</f>
        <v>0</v>
      </c>
      <c r="L15" s="2">
        <f>IF(I15&gt;0,I15*$B$7,0)</f>
        <v>400</v>
      </c>
      <c r="M15" s="2">
        <f>+L15+J15+K15</f>
        <v>400</v>
      </c>
      <c r="N15" s="2">
        <f>+N14+M15</f>
        <v>1870</v>
      </c>
    </row>
    <row r="16" spans="1:14" x14ac:dyDescent="0.25">
      <c r="A16">
        <v>5</v>
      </c>
      <c r="B16">
        <v>0.5</v>
      </c>
      <c r="C16">
        <f>+LOOKUP(B16,$G$2:$G$6,$E$2:$E$6)</f>
        <v>6</v>
      </c>
      <c r="D16">
        <v>0.97</v>
      </c>
      <c r="E16">
        <f>+LOOKUP(D16,$L$2:$L$5,$J$2:$J$5)</f>
        <v>3</v>
      </c>
      <c r="F16" t="s">
        <v>25</v>
      </c>
      <c r="G16">
        <f>+E16+A16</f>
        <v>8</v>
      </c>
      <c r="H16">
        <f>+IF(ISNUMBER(G16),$B$1,"")</f>
        <v>15</v>
      </c>
      <c r="I16">
        <f>+I15-C16</f>
        <v>4</v>
      </c>
      <c r="J16" s="2">
        <f>+IF($F16="NO",0, $B$5)</f>
        <v>600</v>
      </c>
      <c r="K16" s="2">
        <f>IF(I16&lt;0,-I16*$B$6,0)</f>
        <v>0</v>
      </c>
      <c r="L16" s="2">
        <f>IF(I16&gt;0,I16*$B$7,0)</f>
        <v>160</v>
      </c>
      <c r="M16" s="2">
        <f>+L16+J16+K16</f>
        <v>760</v>
      </c>
      <c r="N16" s="2">
        <f>+N15+M16</f>
        <v>2630</v>
      </c>
    </row>
    <row r="17" spans="1:14" x14ac:dyDescent="0.25">
      <c r="A17">
        <v>6</v>
      </c>
      <c r="B17">
        <v>0.61</v>
      </c>
      <c r="C17">
        <f>+LOOKUP(B17,$G$2:$G$6,$E$2:$E$6)</f>
        <v>6</v>
      </c>
      <c r="F17" t="s">
        <v>26</v>
      </c>
      <c r="G17">
        <v>8</v>
      </c>
      <c r="H17">
        <f t="shared" ref="H17:H20" si="5">+IF(ISNUMBER(G17),$B$1,"")</f>
        <v>15</v>
      </c>
      <c r="I17">
        <f>+I16-C17</f>
        <v>-2</v>
      </c>
      <c r="J17" s="2">
        <f>+IF($F17="NO",0, $B$5)</f>
        <v>0</v>
      </c>
      <c r="K17" s="2">
        <f>IF(I17&lt;0,-I17*$B$6,0)</f>
        <v>180</v>
      </c>
      <c r="L17" s="2">
        <f>IF(I17&gt;0,I17*$B$7,0)</f>
        <v>0</v>
      </c>
      <c r="M17" s="2">
        <f>+L17+J17+K17</f>
        <v>180</v>
      </c>
      <c r="N17" s="2">
        <f t="shared" ref="N17:N20" si="6">+N16+M17</f>
        <v>2810</v>
      </c>
    </row>
    <row r="18" spans="1:14" x14ac:dyDescent="0.25">
      <c r="A18">
        <v>7</v>
      </c>
      <c r="B18">
        <v>0.02</v>
      </c>
      <c r="C18">
        <f>+LOOKUP(B18,$G$2:$G$6,$E$2:$E$6)</f>
        <v>3</v>
      </c>
      <c r="F18" t="s">
        <v>26</v>
      </c>
      <c r="G18">
        <v>8</v>
      </c>
      <c r="H18">
        <f t="shared" si="5"/>
        <v>15</v>
      </c>
      <c r="I18">
        <f>+-C18</f>
        <v>-3</v>
      </c>
      <c r="J18" s="2">
        <f>+IF($F18="NO",0, $B$5)</f>
        <v>0</v>
      </c>
      <c r="K18" s="2">
        <f>IF(I18&lt;0,-I18*$B$6,0)</f>
        <v>270</v>
      </c>
      <c r="L18" s="2">
        <f>IF(I18&gt;0,I18*$B$7,0)</f>
        <v>0</v>
      </c>
      <c r="M18" s="2">
        <f>+L18+J18+K18</f>
        <v>270</v>
      </c>
      <c r="N18" s="2">
        <f t="shared" si="6"/>
        <v>3080</v>
      </c>
    </row>
    <row r="19" spans="1:14" x14ac:dyDescent="0.25">
      <c r="A19">
        <v>8</v>
      </c>
      <c r="B19">
        <v>0.55000000000000004</v>
      </c>
      <c r="C19">
        <f>+LOOKUP(B19,$G$2:$G$6,$E$2:$E$6)</f>
        <v>6</v>
      </c>
      <c r="F19" t="s">
        <v>26</v>
      </c>
      <c r="H19" t="str">
        <f t="shared" si="5"/>
        <v/>
      </c>
      <c r="I19">
        <f>+H18-C19</f>
        <v>9</v>
      </c>
      <c r="J19" s="2">
        <f>+IF($F19="NO",0, $B$5)</f>
        <v>0</v>
      </c>
      <c r="K19" s="2">
        <f t="shared" ref="K19:K21" si="7">IF(I19&lt;0,-I19*$B$6,0)</f>
        <v>0</v>
      </c>
      <c r="L19" s="2">
        <f t="shared" ref="L19:L21" si="8">IF(I19&gt;0,I19*$B$7,0)</f>
        <v>360</v>
      </c>
      <c r="M19" s="2">
        <f t="shared" ref="M19:M21" si="9">+L19+J19+K19</f>
        <v>360</v>
      </c>
      <c r="N19" s="2">
        <f t="shared" si="6"/>
        <v>3440</v>
      </c>
    </row>
    <row r="20" spans="1:14" x14ac:dyDescent="0.25">
      <c r="A20">
        <v>9</v>
      </c>
      <c r="B20">
        <v>0.98</v>
      </c>
      <c r="C20">
        <f>+LOOKUP(B20,$G$2:$G$6,$E$2:$E$6)</f>
        <v>7</v>
      </c>
      <c r="D20">
        <v>0.12</v>
      </c>
      <c r="E20">
        <f>+LOOKUP(D20,$L$2:$L$5,$J$2:$J$5)</f>
        <v>1</v>
      </c>
      <c r="F20" t="s">
        <v>25</v>
      </c>
      <c r="G20">
        <v>8</v>
      </c>
      <c r="H20">
        <f t="shared" si="5"/>
        <v>15</v>
      </c>
      <c r="I20">
        <f>+I19-C20</f>
        <v>2</v>
      </c>
      <c r="J20" s="2">
        <f>+IF($F20="NO",0, $B$5)</f>
        <v>600</v>
      </c>
      <c r="K20" s="2">
        <f t="shared" si="7"/>
        <v>0</v>
      </c>
      <c r="L20" s="2">
        <f t="shared" si="8"/>
        <v>80</v>
      </c>
      <c r="M20" s="2">
        <f t="shared" si="9"/>
        <v>680</v>
      </c>
      <c r="N20" s="2">
        <f t="shared" si="6"/>
        <v>4120</v>
      </c>
    </row>
    <row r="21" spans="1:14" x14ac:dyDescent="0.25">
      <c r="J21" s="2"/>
      <c r="K21" s="2"/>
      <c r="L21" s="2"/>
      <c r="M21" s="2"/>
      <c r="N21" s="4"/>
    </row>
    <row r="22" spans="1:14" x14ac:dyDescent="0.25">
      <c r="J22" s="2"/>
      <c r="K22" s="2"/>
      <c r="L22" s="2"/>
      <c r="M22" s="2"/>
      <c r="N22" s="2"/>
    </row>
    <row r="23" spans="1:14" x14ac:dyDescent="0.25">
      <c r="J23" s="2"/>
      <c r="K23" s="2"/>
      <c r="L23" s="2"/>
      <c r="M23" s="2"/>
      <c r="N23" s="2"/>
    </row>
    <row r="24" spans="1:14" x14ac:dyDescent="0.25">
      <c r="J24" s="2"/>
      <c r="K24" s="2"/>
      <c r="L24" s="2"/>
      <c r="M24" s="2"/>
      <c r="N24" s="2"/>
    </row>
    <row r="25" spans="1:14" x14ac:dyDescent="0.25">
      <c r="J25" s="2"/>
      <c r="K25" s="2"/>
      <c r="L25" s="5" t="s">
        <v>27</v>
      </c>
      <c r="M25" s="5"/>
      <c r="N25" s="4">
        <f>+MAX(N12:N23) / MAX(A12:A23)</f>
        <v>457.77777777777777</v>
      </c>
    </row>
  </sheetData>
  <mergeCells count="1">
    <mergeCell ref="L25:M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Amortiguadores</vt:lpstr>
      <vt:lpstr>Genérica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Andrés Malamud</dc:creator>
  <cp:lastModifiedBy>Tomás Andrés Malamud</cp:lastModifiedBy>
  <dcterms:created xsi:type="dcterms:W3CDTF">2024-07-23T17:00:03Z</dcterms:created>
  <dcterms:modified xsi:type="dcterms:W3CDTF">2024-07-23T18:38:21Z</dcterms:modified>
</cp:coreProperties>
</file>