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is Documentos\_UTN\SIM-2023\Material\"/>
    </mc:Choice>
  </mc:AlternateContent>
  <bookViews>
    <workbookView xWindow="0" yWindow="0" windowWidth="28335" windowHeight="11370" activeTab="5"/>
  </bookViews>
  <sheets>
    <sheet name="Muestra 1" sheetId="6" r:id="rId1"/>
    <sheet name="Muestra 2" sheetId="5" r:id="rId2"/>
    <sheet name="Muestra 3" sheetId="4" r:id="rId3"/>
    <sheet name="Muestra 4" sheetId="3" r:id="rId4"/>
    <sheet name="Muestra 5" sheetId="1" r:id="rId5"/>
    <sheet name="Muestra 6" sheetId="2" r:id="rId6"/>
  </sheets>
  <definedNames>
    <definedName name="DesvStd" localSheetId="2">'Muestra 3'!$B$40</definedName>
    <definedName name="DesvStd" localSheetId="5">'Muestra 6'!$I$3</definedName>
    <definedName name="Lambda" localSheetId="1">'Muestra 2'!$B$44</definedName>
    <definedName name="Lambda" localSheetId="3">'Muestra 4'!$B$59</definedName>
    <definedName name="Lambda" localSheetId="4">'Muestra 5'!$H$3</definedName>
    <definedName name="Media" localSheetId="2">'Muestra 3'!$B$39</definedName>
    <definedName name="Media" localSheetId="5">'Muestra 6'!$I$2</definedName>
    <definedName name="N" localSheetId="1">'Muestra 2'!$B$35</definedName>
    <definedName name="N" localSheetId="2">'Muestra 3'!$B$35</definedName>
    <definedName name="N" localSheetId="3">'Muestra 4'!$B$55</definedName>
    <definedName name="N" localSheetId="4">'Muestra 5'!$B$40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9" i="2"/>
  <c r="E11" i="2"/>
  <c r="E12" i="2" s="1"/>
  <c r="E13" i="2" s="1"/>
  <c r="E14" i="2" s="1"/>
  <c r="E15" i="2" s="1"/>
  <c r="E10" i="2"/>
  <c r="E10" i="1"/>
  <c r="E11" i="1"/>
  <c r="E12" i="1"/>
  <c r="E13" i="1"/>
  <c r="E14" i="1"/>
  <c r="E15" i="1"/>
  <c r="D11" i="1"/>
  <c r="D12" i="1" s="1"/>
  <c r="D13" i="1" s="1"/>
  <c r="D14" i="1" s="1"/>
  <c r="D15" i="1" s="1"/>
  <c r="D10" i="1"/>
  <c r="E9" i="1"/>
  <c r="F4" i="6" l="1" a="1"/>
  <c r="F5" i="6" s="1"/>
  <c r="D13" i="6"/>
  <c r="E13" i="6"/>
  <c r="G13" i="6"/>
  <c r="D14" i="6"/>
  <c r="E14" i="6"/>
  <c r="G14" i="6"/>
  <c r="D15" i="6"/>
  <c r="E15" i="6"/>
  <c r="G15" i="6"/>
  <c r="D16" i="6"/>
  <c r="E16" i="6"/>
  <c r="G16" i="6"/>
  <c r="D17" i="6"/>
  <c r="E17" i="6"/>
  <c r="G17" i="6"/>
  <c r="F4" i="5"/>
  <c r="G4" i="5" a="1"/>
  <c r="G7" i="5" s="1"/>
  <c r="F23" i="5" s="1"/>
  <c r="H23" i="5" s="1"/>
  <c r="G4" i="5"/>
  <c r="P4" i="5" s="1"/>
  <c r="N4" i="5"/>
  <c r="O4" i="5"/>
  <c r="F5" i="5"/>
  <c r="N5" i="5"/>
  <c r="O5" i="5"/>
  <c r="F6" i="5"/>
  <c r="N6" i="5"/>
  <c r="O6" i="5"/>
  <c r="F7" i="5"/>
  <c r="N7" i="5"/>
  <c r="O7" i="5"/>
  <c r="F8" i="5"/>
  <c r="F9" i="5"/>
  <c r="F10" i="5"/>
  <c r="F11" i="5"/>
  <c r="F12" i="5"/>
  <c r="G12" i="5"/>
  <c r="F28" i="5" s="1"/>
  <c r="H28" i="5" s="1"/>
  <c r="F13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B35" i="5"/>
  <c r="B43" i="5" s="1"/>
  <c r="B44" i="5" s="1"/>
  <c r="B36" i="5"/>
  <c r="B37" i="5"/>
  <c r="B39" i="5" s="1"/>
  <c r="E40" i="5"/>
  <c r="D41" i="5" s="1"/>
  <c r="E41" i="5" s="1"/>
  <c r="D42" i="5" s="1"/>
  <c r="E42" i="5" s="1"/>
  <c r="D43" i="5" s="1"/>
  <c r="E43" i="5" s="1"/>
  <c r="D44" i="5" s="1"/>
  <c r="E44" i="5" s="1"/>
  <c r="G4" i="4"/>
  <c r="H4" i="4" a="1"/>
  <c r="H13" i="4" s="1"/>
  <c r="G28" i="4" s="1"/>
  <c r="I28" i="4" s="1"/>
  <c r="O4" i="4"/>
  <c r="P4" i="4"/>
  <c r="G5" i="4"/>
  <c r="O5" i="4"/>
  <c r="P5" i="4"/>
  <c r="G6" i="4"/>
  <c r="O6" i="4"/>
  <c r="P6" i="4"/>
  <c r="G7" i="4"/>
  <c r="O7" i="4"/>
  <c r="P7" i="4"/>
  <c r="G8" i="4"/>
  <c r="G9" i="4"/>
  <c r="G10" i="4"/>
  <c r="G11" i="4"/>
  <c r="G12" i="4"/>
  <c r="G13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B35" i="4"/>
  <c r="B39" i="4" s="1"/>
  <c r="B36" i="4"/>
  <c r="B37" i="4"/>
  <c r="E4" i="3"/>
  <c r="K4" i="3" s="1"/>
  <c r="E5" i="3"/>
  <c r="E6" i="3"/>
  <c r="J6" i="3"/>
  <c r="E7" i="3"/>
  <c r="J7" i="3"/>
  <c r="E8" i="3"/>
  <c r="K5" i="3" s="1"/>
  <c r="J8" i="3"/>
  <c r="E9" i="3"/>
  <c r="J9" i="3"/>
  <c r="E10" i="3"/>
  <c r="K6" i="3" s="1"/>
  <c r="E11" i="3"/>
  <c r="K7" i="3" s="1"/>
  <c r="E12" i="3"/>
  <c r="K8" i="3" s="1"/>
  <c r="E13" i="3"/>
  <c r="K9" i="3" s="1"/>
  <c r="E14" i="3"/>
  <c r="K10" i="3" s="1"/>
  <c r="E15" i="3"/>
  <c r="E16" i="3"/>
  <c r="K11" i="3" s="1"/>
  <c r="E17" i="3"/>
  <c r="E18" i="3"/>
  <c r="E19" i="3"/>
  <c r="E20" i="3"/>
  <c r="E21" i="3"/>
  <c r="B55" i="3"/>
  <c r="B56" i="3"/>
  <c r="B57" i="3"/>
  <c r="B59" i="3"/>
  <c r="F13" i="3" s="1"/>
  <c r="G13" i="3" s="1"/>
  <c r="L9" i="3" s="1"/>
  <c r="M9" i="3" s="1"/>
  <c r="N27" i="2"/>
  <c r="E21" i="2"/>
  <c r="F20" i="2"/>
  <c r="E20" i="2"/>
  <c r="L9" i="2"/>
  <c r="H5" i="6" l="1"/>
  <c r="F14" i="6"/>
  <c r="F4" i="6"/>
  <c r="F8" i="6"/>
  <c r="F6" i="6"/>
  <c r="F7" i="6"/>
  <c r="H4" i="5"/>
  <c r="H12" i="5"/>
  <c r="I4" i="5"/>
  <c r="H7" i="5"/>
  <c r="H9" i="5"/>
  <c r="I12" i="5"/>
  <c r="I7" i="5"/>
  <c r="I9" i="5"/>
  <c r="H13" i="5"/>
  <c r="H8" i="5"/>
  <c r="I8" i="5"/>
  <c r="H6" i="5"/>
  <c r="H10" i="5"/>
  <c r="I13" i="5"/>
  <c r="I6" i="5"/>
  <c r="I10" i="5"/>
  <c r="I5" i="5"/>
  <c r="H5" i="5"/>
  <c r="H11" i="5"/>
  <c r="I11" i="5"/>
  <c r="F20" i="5"/>
  <c r="H20" i="5" s="1"/>
  <c r="J20" i="5" s="1"/>
  <c r="G8" i="5"/>
  <c r="G11" i="5"/>
  <c r="F27" i="5" s="1"/>
  <c r="H27" i="5" s="1"/>
  <c r="G5" i="5"/>
  <c r="G6" i="5"/>
  <c r="G10" i="5"/>
  <c r="F26" i="5" s="1"/>
  <c r="H26" i="5" s="1"/>
  <c r="G13" i="5"/>
  <c r="F29" i="5" s="1"/>
  <c r="H29" i="5" s="1"/>
  <c r="G9" i="5"/>
  <c r="F25" i="5" s="1"/>
  <c r="H25" i="5" s="1"/>
  <c r="C32" i="4"/>
  <c r="C21" i="4"/>
  <c r="C33" i="4"/>
  <c r="C6" i="4"/>
  <c r="C24" i="4"/>
  <c r="C27" i="4"/>
  <c r="C14" i="4"/>
  <c r="C5" i="4"/>
  <c r="C11" i="4"/>
  <c r="C20" i="4"/>
  <c r="C10" i="4"/>
  <c r="C8" i="4"/>
  <c r="C15" i="4"/>
  <c r="C23" i="4"/>
  <c r="C29" i="4"/>
  <c r="C18" i="4"/>
  <c r="C12" i="4"/>
  <c r="C7" i="4"/>
  <c r="C9" i="4"/>
  <c r="C22" i="4"/>
  <c r="C30" i="4"/>
  <c r="C25" i="4"/>
  <c r="C31" i="4"/>
  <c r="C28" i="4"/>
  <c r="C13" i="4"/>
  <c r="C16" i="4"/>
  <c r="C26" i="4"/>
  <c r="C17" i="4"/>
  <c r="C4" i="4"/>
  <c r="C19" i="4"/>
  <c r="H11" i="4"/>
  <c r="G26" i="4" s="1"/>
  <c r="I26" i="4" s="1"/>
  <c r="H5" i="4"/>
  <c r="G20" i="4" s="1"/>
  <c r="I20" i="4" s="1"/>
  <c r="H7" i="4"/>
  <c r="G22" i="4" s="1"/>
  <c r="I22" i="4" s="1"/>
  <c r="H12" i="4"/>
  <c r="G27" i="4" s="1"/>
  <c r="I27" i="4" s="1"/>
  <c r="H4" i="4"/>
  <c r="H8" i="4"/>
  <c r="H9" i="4"/>
  <c r="H10" i="4"/>
  <c r="H6" i="4"/>
  <c r="G21" i="4" s="1"/>
  <c r="I21" i="4" s="1"/>
  <c r="F10" i="3"/>
  <c r="G10" i="3" s="1"/>
  <c r="L6" i="3" s="1"/>
  <c r="M6" i="3" s="1"/>
  <c r="F8" i="3"/>
  <c r="G8" i="3" s="1"/>
  <c r="F6" i="3"/>
  <c r="G6" i="3" s="1"/>
  <c r="F18" i="3"/>
  <c r="G18" i="3" s="1"/>
  <c r="F12" i="3"/>
  <c r="G12" i="3" s="1"/>
  <c r="L8" i="3" s="1"/>
  <c r="M8" i="3" s="1"/>
  <c r="F17" i="3"/>
  <c r="G17" i="3" s="1"/>
  <c r="E22" i="3"/>
  <c r="F16" i="3"/>
  <c r="G16" i="3" s="1"/>
  <c r="F21" i="3"/>
  <c r="G21" i="3" s="1"/>
  <c r="F5" i="3"/>
  <c r="G5" i="3" s="1"/>
  <c r="F7" i="3"/>
  <c r="G7" i="3" s="1"/>
  <c r="F11" i="3"/>
  <c r="G11" i="3" s="1"/>
  <c r="L7" i="3" s="1"/>
  <c r="M7" i="3" s="1"/>
  <c r="F20" i="3"/>
  <c r="G20" i="3" s="1"/>
  <c r="F9" i="3"/>
  <c r="G9" i="3" s="1"/>
  <c r="F15" i="3"/>
  <c r="G15" i="3" s="1"/>
  <c r="F14" i="3"/>
  <c r="G14" i="3" s="1"/>
  <c r="L10" i="3" s="1"/>
  <c r="M10" i="3" s="1"/>
  <c r="F19" i="3"/>
  <c r="G19" i="3" s="1"/>
  <c r="F4" i="3"/>
  <c r="G4" i="3" s="1"/>
  <c r="F16" i="6" l="1"/>
  <c r="H7" i="6"/>
  <c r="H6" i="6"/>
  <c r="F15" i="6"/>
  <c r="F17" i="6"/>
  <c r="H8" i="6"/>
  <c r="H4" i="6"/>
  <c r="I4" i="6" s="1"/>
  <c r="F13" i="6"/>
  <c r="F9" i="6"/>
  <c r="F18" i="6" s="1"/>
  <c r="H14" i="6" s="1"/>
  <c r="I5" i="6"/>
  <c r="I22" i="5"/>
  <c r="J6" i="5"/>
  <c r="J13" i="5"/>
  <c r="G29" i="5" s="1"/>
  <c r="I29" i="5"/>
  <c r="J5" i="5"/>
  <c r="I21" i="5"/>
  <c r="F22" i="5"/>
  <c r="H22" i="5" s="1"/>
  <c r="P6" i="5"/>
  <c r="J8" i="5"/>
  <c r="I24" i="5"/>
  <c r="J10" i="5"/>
  <c r="G26" i="5" s="1"/>
  <c r="I26" i="5"/>
  <c r="P5" i="5"/>
  <c r="F21" i="5"/>
  <c r="H21" i="5" s="1"/>
  <c r="J21" i="5" s="1"/>
  <c r="F24" i="5"/>
  <c r="H24" i="5" s="1"/>
  <c r="P7" i="5"/>
  <c r="I25" i="5"/>
  <c r="J9" i="5"/>
  <c r="G25" i="5" s="1"/>
  <c r="I23" i="5"/>
  <c r="J7" i="5"/>
  <c r="G23" i="5" s="1"/>
  <c r="I28" i="5"/>
  <c r="J12" i="5"/>
  <c r="G28" i="5" s="1"/>
  <c r="I27" i="5"/>
  <c r="J11" i="5"/>
  <c r="G27" i="5" s="1"/>
  <c r="I20" i="5"/>
  <c r="K20" i="5" s="1"/>
  <c r="L20" i="5" s="1"/>
  <c r="M20" i="5" s="1"/>
  <c r="J4" i="5"/>
  <c r="I14" i="5"/>
  <c r="C34" i="4"/>
  <c r="B40" i="4" s="1"/>
  <c r="I9" i="4" s="1"/>
  <c r="Q7" i="4"/>
  <c r="G25" i="4"/>
  <c r="I25" i="4" s="1"/>
  <c r="G19" i="4"/>
  <c r="I19" i="4" s="1"/>
  <c r="Q4" i="4"/>
  <c r="G24" i="4"/>
  <c r="I24" i="4" s="1"/>
  <c r="Q6" i="4"/>
  <c r="Q5" i="4"/>
  <c r="G23" i="4"/>
  <c r="I23" i="4" s="1"/>
  <c r="L11" i="3"/>
  <c r="M11" i="3" s="1"/>
  <c r="L4" i="3"/>
  <c r="M4" i="3" s="1"/>
  <c r="N4" i="3" s="1"/>
  <c r="G22" i="3"/>
  <c r="L5" i="3"/>
  <c r="M5" i="3" s="1"/>
  <c r="N5" i="3" l="1"/>
  <c r="N6" i="3" s="1"/>
  <c r="N7" i="3" s="1"/>
  <c r="N8" i="3" s="1"/>
  <c r="N9" i="3" s="1"/>
  <c r="N10" i="3" s="1"/>
  <c r="N11" i="3" s="1"/>
  <c r="H17" i="6"/>
  <c r="H13" i="6"/>
  <c r="I6" i="6"/>
  <c r="I16" i="6"/>
  <c r="I13" i="6"/>
  <c r="I15" i="6"/>
  <c r="I17" i="6"/>
  <c r="I14" i="6"/>
  <c r="H15" i="6"/>
  <c r="I7" i="6"/>
  <c r="I8" i="6" s="1"/>
  <c r="H16" i="6"/>
  <c r="G20" i="5"/>
  <c r="Q4" i="5"/>
  <c r="R4" i="5" s="1"/>
  <c r="S4" i="5" s="1"/>
  <c r="G24" i="5"/>
  <c r="Q7" i="5"/>
  <c r="R7" i="5" s="1"/>
  <c r="J22" i="5"/>
  <c r="K21" i="5"/>
  <c r="K22" i="5" s="1"/>
  <c r="K23" i="5" s="1"/>
  <c r="K24" i="5" s="1"/>
  <c r="K25" i="5" s="1"/>
  <c r="K26" i="5" s="1"/>
  <c r="K27" i="5" s="1"/>
  <c r="K28" i="5" s="1"/>
  <c r="K29" i="5" s="1"/>
  <c r="Q5" i="5"/>
  <c r="R5" i="5" s="1"/>
  <c r="G21" i="5"/>
  <c r="G22" i="5"/>
  <c r="Q6" i="5"/>
  <c r="R6" i="5" s="1"/>
  <c r="I8" i="4"/>
  <c r="J23" i="4" s="1"/>
  <c r="I7" i="4"/>
  <c r="J7" i="4" s="1"/>
  <c r="H22" i="4" s="1"/>
  <c r="I12" i="4"/>
  <c r="J12" i="4" s="1"/>
  <c r="H27" i="4" s="1"/>
  <c r="I4" i="4"/>
  <c r="J19" i="4" s="1"/>
  <c r="I11" i="4"/>
  <c r="J26" i="4" s="1"/>
  <c r="I10" i="4"/>
  <c r="J25" i="4" s="1"/>
  <c r="I5" i="4"/>
  <c r="J20" i="4" s="1"/>
  <c r="I13" i="4"/>
  <c r="J13" i="4" s="1"/>
  <c r="H28" i="4" s="1"/>
  <c r="I6" i="4"/>
  <c r="J21" i="4" s="1"/>
  <c r="J9" i="4"/>
  <c r="J24" i="4"/>
  <c r="K19" i="4"/>
  <c r="I29" i="4"/>
  <c r="S5" i="5" l="1"/>
  <c r="S6" i="5" s="1"/>
  <c r="S7" i="5" s="1"/>
  <c r="I18" i="6"/>
  <c r="K13" i="6"/>
  <c r="K14" i="6" s="1"/>
  <c r="K15" i="6" s="1"/>
  <c r="K16" i="6" s="1"/>
  <c r="K17" i="6" s="1"/>
  <c r="H18" i="6"/>
  <c r="J13" i="6"/>
  <c r="J4" i="4"/>
  <c r="J27" i="4"/>
  <c r="J5" i="4"/>
  <c r="H20" i="4" s="1"/>
  <c r="J10" i="4"/>
  <c r="I14" i="4"/>
  <c r="L21" i="5"/>
  <c r="M21" i="5" s="1"/>
  <c r="L22" i="5"/>
  <c r="J23" i="5"/>
  <c r="J22" i="4"/>
  <c r="J6" i="4"/>
  <c r="H21" i="4" s="1"/>
  <c r="J11" i="4"/>
  <c r="H26" i="4" s="1"/>
  <c r="J28" i="4"/>
  <c r="J8" i="4"/>
  <c r="H23" i="4" s="1"/>
  <c r="H24" i="4"/>
  <c r="R6" i="4"/>
  <c r="S6" i="4" s="1"/>
  <c r="H19" i="4"/>
  <c r="K20" i="4"/>
  <c r="R5" i="4"/>
  <c r="S5" i="4" s="1"/>
  <c r="L19" i="4"/>
  <c r="M19" i="4" s="1"/>
  <c r="N19" i="4" s="1"/>
  <c r="L20" i="4"/>
  <c r="L21" i="4" s="1"/>
  <c r="L22" i="4" l="1"/>
  <c r="L23" i="4" s="1"/>
  <c r="L24" i="4" s="1"/>
  <c r="L25" i="4" s="1"/>
  <c r="L26" i="4" s="1"/>
  <c r="L27" i="4" s="1"/>
  <c r="L28" i="4" s="1"/>
  <c r="R7" i="4"/>
  <c r="S7" i="4" s="1"/>
  <c r="L13" i="6"/>
  <c r="M13" i="6" s="1"/>
  <c r="J14" i="6"/>
  <c r="H25" i="4"/>
  <c r="J29" i="4"/>
  <c r="M22" i="5"/>
  <c r="L23" i="5"/>
  <c r="M23" i="5" s="1"/>
  <c r="J24" i="5"/>
  <c r="R4" i="4"/>
  <c r="S4" i="4" s="1"/>
  <c r="T4" i="4" s="1"/>
  <c r="T5" i="4" s="1"/>
  <c r="T6" i="4" s="1"/>
  <c r="T7" i="4" s="1"/>
  <c r="M20" i="4"/>
  <c r="N20" i="4" s="1"/>
  <c r="K21" i="4"/>
  <c r="L14" i="6" l="1"/>
  <c r="M14" i="6" s="1"/>
  <c r="J15" i="6"/>
  <c r="L24" i="5"/>
  <c r="M24" i="5" s="1"/>
  <c r="J25" i="5"/>
  <c r="M21" i="4"/>
  <c r="N21" i="4" s="1"/>
  <c r="K22" i="4"/>
  <c r="L15" i="6" l="1"/>
  <c r="M15" i="6" s="1"/>
  <c r="J16" i="6"/>
  <c r="L25" i="5"/>
  <c r="M25" i="5" s="1"/>
  <c r="J26" i="5"/>
  <c r="M22" i="4"/>
  <c r="N22" i="4" s="1"/>
  <c r="K23" i="4"/>
  <c r="L16" i="6" l="1"/>
  <c r="M16" i="6" s="1"/>
  <c r="J17" i="6"/>
  <c r="L17" i="6" s="1"/>
  <c r="M17" i="6" s="1"/>
  <c r="L26" i="5"/>
  <c r="M26" i="5" s="1"/>
  <c r="J27" i="5"/>
  <c r="M23" i="4"/>
  <c r="N23" i="4" s="1"/>
  <c r="K24" i="4"/>
  <c r="L27" i="5" l="1"/>
  <c r="M27" i="5" s="1"/>
  <c r="J28" i="5"/>
  <c r="M24" i="4"/>
  <c r="N24" i="4" s="1"/>
  <c r="K25" i="4"/>
  <c r="L28" i="5" l="1"/>
  <c r="M28" i="5" s="1"/>
  <c r="J29" i="5"/>
  <c r="L29" i="5" s="1"/>
  <c r="M29" i="5" s="1"/>
  <c r="M25" i="4"/>
  <c r="N25" i="4" s="1"/>
  <c r="K26" i="4"/>
  <c r="M26" i="4" l="1"/>
  <c r="N26" i="4" s="1"/>
  <c r="K27" i="4"/>
  <c r="M27" i="4" l="1"/>
  <c r="N27" i="4" s="1"/>
  <c r="K28" i="4"/>
  <c r="M28" i="4" s="1"/>
  <c r="N28" i="4" s="1"/>
  <c r="B4" i="2"/>
  <c r="B3" i="2"/>
  <c r="E9" i="2" s="1"/>
  <c r="B2" i="2"/>
  <c r="I2" i="2" s="1"/>
  <c r="F2" i="2" l="1"/>
  <c r="C12" i="2"/>
  <c r="C28" i="2"/>
  <c r="C44" i="2"/>
  <c r="C30" i="2"/>
  <c r="C22" i="2"/>
  <c r="C55" i="2"/>
  <c r="C26" i="2"/>
  <c r="C43" i="2"/>
  <c r="C13" i="2"/>
  <c r="C29" i="2"/>
  <c r="C45" i="2"/>
  <c r="C14" i="2"/>
  <c r="C46" i="2"/>
  <c r="C52" i="2"/>
  <c r="C53" i="2"/>
  <c r="C39" i="2"/>
  <c r="C56" i="2"/>
  <c r="C57" i="2"/>
  <c r="C58" i="2"/>
  <c r="C11" i="2"/>
  <c r="C15" i="2"/>
  <c r="C31" i="2"/>
  <c r="C47" i="2"/>
  <c r="C16" i="2"/>
  <c r="C32" i="2"/>
  <c r="C48" i="2"/>
  <c r="C17" i="2"/>
  <c r="C33" i="2"/>
  <c r="C49" i="2"/>
  <c r="C18" i="2"/>
  <c r="C34" i="2"/>
  <c r="C50" i="2"/>
  <c r="C19" i="2"/>
  <c r="C35" i="2"/>
  <c r="C51" i="2"/>
  <c r="C20" i="2"/>
  <c r="C36" i="2"/>
  <c r="C21" i="2"/>
  <c r="C37" i="2"/>
  <c r="C54" i="2"/>
  <c r="C23" i="2"/>
  <c r="C40" i="2"/>
  <c r="C25" i="2"/>
  <c r="C10" i="2"/>
  <c r="C9" i="2"/>
  <c r="C38" i="2"/>
  <c r="C24" i="2"/>
  <c r="C41" i="2"/>
  <c r="C42" i="2"/>
  <c r="C27" i="2"/>
  <c r="F3" i="2"/>
  <c r="M27" i="1"/>
  <c r="E20" i="1"/>
  <c r="D20" i="1"/>
  <c r="F4" i="2" l="1"/>
  <c r="C59" i="2"/>
  <c r="I3" i="2" s="1"/>
  <c r="B4" i="1"/>
  <c r="B3" i="1"/>
  <c r="D9" i="1" s="1"/>
  <c r="L9" i="1" s="1"/>
  <c r="B2" i="1"/>
  <c r="G9" i="2" l="1"/>
  <c r="I9" i="2"/>
  <c r="E3" i="1"/>
  <c r="H2" i="1"/>
  <c r="H3" i="1" s="1"/>
  <c r="E2" i="1"/>
  <c r="F21" i="2" l="1"/>
  <c r="M9" i="2"/>
  <c r="J9" i="2"/>
  <c r="J20" i="2"/>
  <c r="L20" i="2" s="1"/>
  <c r="G10" i="2"/>
  <c r="I10" i="2" s="1"/>
  <c r="J21" i="2" s="1"/>
  <c r="E4" i="1"/>
  <c r="M9" i="1" s="1"/>
  <c r="L21" i="2" l="1"/>
  <c r="E22" i="2"/>
  <c r="L10" i="2"/>
  <c r="H20" i="2"/>
  <c r="J10" i="2"/>
  <c r="H21" i="2" s="1"/>
  <c r="F9" i="1"/>
  <c r="H9" i="1" s="1"/>
  <c r="I9" i="1"/>
  <c r="G11" i="2" l="1"/>
  <c r="I11" i="2" s="1"/>
  <c r="J22" i="2" s="1"/>
  <c r="L22" i="2" s="1"/>
  <c r="F22" i="2"/>
  <c r="M10" i="2"/>
  <c r="D21" i="1"/>
  <c r="J9" i="1"/>
  <c r="I20" i="1"/>
  <c r="O9" i="2"/>
  <c r="L10" i="1"/>
  <c r="M10" i="1"/>
  <c r="I10" i="1"/>
  <c r="J11" i="2" l="1"/>
  <c r="E23" i="2"/>
  <c r="L11" i="2"/>
  <c r="E22" i="1"/>
  <c r="D22" i="1"/>
  <c r="F10" i="1"/>
  <c r="H10" i="1" s="1"/>
  <c r="E21" i="1"/>
  <c r="J10" i="1"/>
  <c r="I21" i="1"/>
  <c r="O9" i="1"/>
  <c r="G20" i="1"/>
  <c r="H22" i="2"/>
  <c r="O10" i="2"/>
  <c r="K20" i="1"/>
  <c r="G12" i="2"/>
  <c r="I12" i="2" s="1"/>
  <c r="J23" i="2" s="1"/>
  <c r="L23" i="2" s="1"/>
  <c r="F11" i="1"/>
  <c r="H11" i="1" s="1"/>
  <c r="L11" i="1"/>
  <c r="I11" i="1"/>
  <c r="M11" i="1"/>
  <c r="F23" i="2" l="1"/>
  <c r="M11" i="2"/>
  <c r="E23" i="1"/>
  <c r="D23" i="1"/>
  <c r="K21" i="1"/>
  <c r="J11" i="1"/>
  <c r="I22" i="1"/>
  <c r="O10" i="1"/>
  <c r="G21" i="1"/>
  <c r="J12" i="2"/>
  <c r="I12" i="1"/>
  <c r="F12" i="1"/>
  <c r="H12" i="1" s="1"/>
  <c r="L12" i="1"/>
  <c r="E24" i="2" l="1"/>
  <c r="L12" i="2"/>
  <c r="F13" i="1"/>
  <c r="H13" i="1" s="1"/>
  <c r="D24" i="1"/>
  <c r="J12" i="1"/>
  <c r="I23" i="1"/>
  <c r="H23" i="2"/>
  <c r="O11" i="2"/>
  <c r="O11" i="1"/>
  <c r="G22" i="1"/>
  <c r="K22" i="1"/>
  <c r="M12" i="2" l="1"/>
  <c r="F24" i="2"/>
  <c r="G13" i="2"/>
  <c r="I13" i="2" s="1"/>
  <c r="J24" i="2" s="1"/>
  <c r="L24" i="2" s="1"/>
  <c r="I13" i="1"/>
  <c r="E24" i="1"/>
  <c r="K23" i="1"/>
  <c r="G23" i="1"/>
  <c r="L13" i="2" l="1"/>
  <c r="E25" i="2"/>
  <c r="J13" i="2"/>
  <c r="F14" i="1"/>
  <c r="H14" i="1" s="1"/>
  <c r="D25" i="1"/>
  <c r="D26" i="1"/>
  <c r="I24" i="1"/>
  <c r="J13" i="1"/>
  <c r="G24" i="1" s="1"/>
  <c r="I14" i="1"/>
  <c r="E25" i="1"/>
  <c r="O12" i="2"/>
  <c r="H24" i="2"/>
  <c r="K24" i="1"/>
  <c r="G14" i="2"/>
  <c r="I14" i="2" s="1"/>
  <c r="F15" i="1"/>
  <c r="H15" i="1" s="1"/>
  <c r="H16" i="1" s="1"/>
  <c r="E26" i="2" l="1"/>
  <c r="F25" i="2"/>
  <c r="J14" i="1"/>
  <c r="G25" i="1" s="1"/>
  <c r="I25" i="1"/>
  <c r="I15" i="1"/>
  <c r="M12" i="1"/>
  <c r="E26" i="1"/>
  <c r="G9" i="1" a="1"/>
  <c r="J14" i="2"/>
  <c r="J25" i="2"/>
  <c r="L25" i="2" s="1"/>
  <c r="K25" i="1"/>
  <c r="H9" i="2" l="1" a="1"/>
  <c r="H11" i="2" s="1"/>
  <c r="F26" i="2"/>
  <c r="M13" i="2"/>
  <c r="G15" i="2"/>
  <c r="I15" i="2" s="1"/>
  <c r="J26" i="2" s="1"/>
  <c r="L26" i="2" s="1"/>
  <c r="G12" i="1"/>
  <c r="G9" i="1"/>
  <c r="G15" i="1"/>
  <c r="F26" i="1" s="1"/>
  <c r="H26" i="1" s="1"/>
  <c r="G11" i="1"/>
  <c r="G10" i="1"/>
  <c r="G14" i="1"/>
  <c r="F25" i="1" s="1"/>
  <c r="H25" i="1" s="1"/>
  <c r="G13" i="1"/>
  <c r="F24" i="1" s="1"/>
  <c r="H24" i="1" s="1"/>
  <c r="J15" i="1"/>
  <c r="I16" i="1"/>
  <c r="I26" i="1"/>
  <c r="I27" i="1" s="1"/>
  <c r="H25" i="2"/>
  <c r="N10" i="2" l="1"/>
  <c r="P10" i="2" s="1"/>
  <c r="G22" i="2"/>
  <c r="I22" i="2" s="1"/>
  <c r="H13" i="2"/>
  <c r="H10" i="2"/>
  <c r="G21" i="2" s="1"/>
  <c r="I21" i="2" s="1"/>
  <c r="H14" i="2"/>
  <c r="H15" i="2"/>
  <c r="G26" i="2" s="1"/>
  <c r="I26" i="2" s="1"/>
  <c r="H12" i="2"/>
  <c r="H9" i="2"/>
  <c r="I16" i="2"/>
  <c r="J15" i="2"/>
  <c r="H26" i="2" s="1"/>
  <c r="K26" i="1"/>
  <c r="N10" i="1"/>
  <c r="P10" i="1" s="1"/>
  <c r="F21" i="1"/>
  <c r="H21" i="1" s="1"/>
  <c r="N11" i="1"/>
  <c r="P11" i="1" s="1"/>
  <c r="F22" i="1"/>
  <c r="H22" i="1" s="1"/>
  <c r="N12" i="1"/>
  <c r="F23" i="1"/>
  <c r="H23" i="1" s="1"/>
  <c r="O12" i="1"/>
  <c r="P12" i="1" s="1"/>
  <c r="G26" i="1"/>
  <c r="F20" i="1"/>
  <c r="H20" i="1" s="1"/>
  <c r="N9" i="1"/>
  <c r="P9" i="1" s="1"/>
  <c r="Q9" i="1" s="1"/>
  <c r="G16" i="1"/>
  <c r="N9" i="2" l="1"/>
  <c r="P9" i="2" s="1"/>
  <c r="Q9" i="2" s="1"/>
  <c r="G20" i="2"/>
  <c r="I20" i="2" s="1"/>
  <c r="K20" i="2" s="1"/>
  <c r="M20" i="2" s="1"/>
  <c r="N20" i="2" s="1"/>
  <c r="O13" i="2"/>
  <c r="G23" i="2"/>
  <c r="I23" i="2" s="1"/>
  <c r="N11" i="2"/>
  <c r="P11" i="2" s="1"/>
  <c r="N13" i="2"/>
  <c r="G25" i="2"/>
  <c r="I25" i="2" s="1"/>
  <c r="N12" i="2"/>
  <c r="P12" i="2" s="1"/>
  <c r="G24" i="2"/>
  <c r="I24" i="2" s="1"/>
  <c r="Q10" i="2"/>
  <c r="J20" i="1"/>
  <c r="L20" i="1" s="1"/>
  <c r="M20" i="1" s="1"/>
  <c r="H27" i="1"/>
  <c r="Q10" i="1"/>
  <c r="Q11" i="1" s="1"/>
  <c r="Q12" i="1" s="1"/>
  <c r="P13" i="2" l="1"/>
  <c r="K21" i="2"/>
  <c r="Q11" i="2"/>
  <c r="Q12" i="2" s="1"/>
  <c r="J21" i="1"/>
  <c r="Q13" i="2" l="1"/>
  <c r="M21" i="2"/>
  <c r="N21" i="2" s="1"/>
  <c r="K22" i="2"/>
  <c r="J22" i="1"/>
  <c r="L21" i="1"/>
  <c r="M21" i="1" s="1"/>
  <c r="M22" i="2" l="1"/>
  <c r="N22" i="2" s="1"/>
  <c r="K23" i="2"/>
  <c r="J23" i="1"/>
  <c r="L22" i="1"/>
  <c r="M22" i="1" s="1"/>
  <c r="M23" i="2" l="1"/>
  <c r="N23" i="2" s="1"/>
  <c r="K24" i="2"/>
  <c r="J24" i="1"/>
  <c r="L23" i="1"/>
  <c r="M23" i="1" s="1"/>
  <c r="M24" i="2" l="1"/>
  <c r="N24" i="2" s="1"/>
  <c r="K25" i="2"/>
  <c r="J25" i="1"/>
  <c r="L24" i="1"/>
  <c r="M24" i="1" s="1"/>
  <c r="M25" i="2" l="1"/>
  <c r="N25" i="2" s="1"/>
  <c r="K26" i="2"/>
  <c r="M26" i="2" s="1"/>
  <c r="N26" i="2" s="1"/>
  <c r="J26" i="1"/>
  <c r="L26" i="1" s="1"/>
  <c r="L25" i="1"/>
  <c r="M25" i="1" s="1"/>
  <c r="M26" i="1" l="1"/>
</calcChain>
</file>

<file path=xl/sharedStrings.xml><?xml version="1.0" encoding="utf-8"?>
<sst xmlns="http://schemas.openxmlformats.org/spreadsheetml/2006/main" count="184" uniqueCount="48">
  <si>
    <t>Serie</t>
  </si>
  <si>
    <t>Desde</t>
  </si>
  <si>
    <t>Hasta</t>
  </si>
  <si>
    <t>Marca Clase</t>
  </si>
  <si>
    <t>fo</t>
  </si>
  <si>
    <t>P() c/mc</t>
  </si>
  <si>
    <t>P() c/Pac</t>
  </si>
  <si>
    <t>fe</t>
  </si>
  <si>
    <t>N</t>
  </si>
  <si>
    <t>Min</t>
  </si>
  <si>
    <t>Max</t>
  </si>
  <si>
    <t>Diferencia</t>
  </si>
  <si>
    <t>Ancho Int.</t>
  </si>
  <si>
    <t>Precisión</t>
  </si>
  <si>
    <t>Cant.Int.Rec.</t>
  </si>
  <si>
    <t>Media:</t>
  </si>
  <si>
    <t>Lambda:</t>
  </si>
  <si>
    <t>c</t>
  </si>
  <si>
    <t>C(ac)</t>
  </si>
  <si>
    <t>CALC</t>
  </si>
  <si>
    <t>TAB</t>
  </si>
  <si>
    <t>Po()</t>
  </si>
  <si>
    <t>Pe()</t>
  </si>
  <si>
    <t>Po() AC</t>
  </si>
  <si>
    <t>Pe() AC</t>
  </si>
  <si>
    <t>|Po(AC)-Pe(AC)|</t>
  </si>
  <si>
    <t>MAX</t>
  </si>
  <si>
    <t>Media</t>
  </si>
  <si>
    <t>DesvStd</t>
  </si>
  <si>
    <t>Marca</t>
  </si>
  <si>
    <t>P()</t>
  </si>
  <si>
    <t>c (AC)</t>
  </si>
  <si>
    <t>Lambda</t>
  </si>
  <si>
    <t>19; 20; 21; 22; 23; 24</t>
  </si>
  <si>
    <t>17; 18</t>
  </si>
  <si>
    <t>11; 12;</t>
  </si>
  <si>
    <t>7; 8; 9; 10;</t>
  </si>
  <si>
    <t>c(ac)</t>
  </si>
  <si>
    <t>Valor/es</t>
  </si>
  <si>
    <t>Valor</t>
  </si>
  <si>
    <t>Ancho</t>
  </si>
  <si>
    <t>Cant. Int</t>
  </si>
  <si>
    <t>Pe(AC)</t>
  </si>
  <si>
    <t>Po(AC)</t>
  </si>
  <si>
    <t>Pe</t>
  </si>
  <si>
    <t>Po</t>
  </si>
  <si>
    <t>C (AC)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</si>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</sst>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" fontId="0" fillId="0" borderId="0" xfId="0" applyNumberFormat="1"/>
    <xf numFmtId="165" fontId="0" fillId="3" borderId="0" xfId="0" applyNumberFormat="1" applyFill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166" fontId="0" fillId="0" borderId="0" xfId="0" applyNumberFormat="1"/>
    <xf numFmtId="0" fontId="0" fillId="0" borderId="0" xfId="0" applyFill="1"/>
    <xf numFmtId="165" fontId="0" fillId="3" borderId="0" xfId="0" applyNumberFormat="1" applyFont="1" applyFill="1"/>
    <xf numFmtId="0" fontId="1" fillId="0" borderId="0" xfId="0" applyFont="1" applyFill="1"/>
    <xf numFmtId="2" fontId="0" fillId="3" borderId="0" xfId="0" applyNumberFormat="1" applyFont="1" applyFill="1"/>
    <xf numFmtId="2" fontId="1" fillId="0" borderId="0" xfId="0" applyNumberFormat="1" applyFont="1" applyFill="1"/>
    <xf numFmtId="49" fontId="0" fillId="0" borderId="0" xfId="0" applyNumberFormat="1"/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'Muestra 1'!$F$4:$F$8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E-46C4-8B03-B7CD16A2E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798352"/>
        <c:axId val="512269880"/>
      </c:barChart>
      <c:catAx>
        <c:axId val="507798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69880"/>
        <c:crosses val="autoZero"/>
        <c:auto val="1"/>
        <c:lblAlgn val="ctr"/>
        <c:lblOffset val="100"/>
        <c:noMultiLvlLbl val="0"/>
      </c:catAx>
      <c:valAx>
        <c:axId val="51226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9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'Muestra 2'!$G$4:$G$13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B-4B96-A52B-AB0128CC5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865768"/>
        <c:axId val="426866552"/>
      </c:barChart>
      <c:catAx>
        <c:axId val="426865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66552"/>
        <c:crosses val="autoZero"/>
        <c:auto val="1"/>
        <c:lblAlgn val="ctr"/>
        <c:lblOffset val="100"/>
        <c:noMultiLvlLbl val="0"/>
      </c:catAx>
      <c:valAx>
        <c:axId val="42686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6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'Muestra 3'!$H$4:$H$13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7-492C-91A4-819E0EA35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864984"/>
        <c:axId val="426865376"/>
      </c:barChart>
      <c:catAx>
        <c:axId val="426864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65376"/>
        <c:crosses val="autoZero"/>
        <c:auto val="1"/>
        <c:lblAlgn val="ctr"/>
        <c:lblOffset val="100"/>
        <c:noMultiLvlLbl val="0"/>
      </c:catAx>
      <c:valAx>
        <c:axId val="42686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6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'Muestra 4'!$D$4:$D$21</c:f>
              <c:numCache>
                <c:formatCode>General</c:formatCode>
                <c:ptCount val="18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</c:numCache>
            </c:numRef>
          </c:cat>
          <c:val>
            <c:numRef>
              <c:f>'Muestra 4'!$E$4:$E$21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0-42B3-8B2E-EB079F89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860280"/>
        <c:axId val="426860672"/>
      </c:barChart>
      <c:catAx>
        <c:axId val="42686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60672"/>
        <c:crosses val="autoZero"/>
        <c:auto val="1"/>
        <c:lblAlgn val="ctr"/>
        <c:lblOffset val="100"/>
        <c:noMultiLvlLbl val="0"/>
      </c:catAx>
      <c:valAx>
        <c:axId val="4268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60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Diagrama de Frecuencia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'Muestra 5'!$E$9:$E$15</c:f>
              <c:numCache>
                <c:formatCode>0.00</c:formatCode>
                <c:ptCount val="7"/>
                <c:pt idx="0">
                  <c:v>1.2790000000000001</c:v>
                </c:pt>
                <c:pt idx="1">
                  <c:v>2.4590000000000001</c:v>
                </c:pt>
                <c:pt idx="2">
                  <c:v>3.6390000000000002</c:v>
                </c:pt>
                <c:pt idx="3">
                  <c:v>4.819</c:v>
                </c:pt>
                <c:pt idx="4">
                  <c:v>5.9989999999999997</c:v>
                </c:pt>
                <c:pt idx="5">
                  <c:v>7.1789999999999994</c:v>
                </c:pt>
                <c:pt idx="6">
                  <c:v>8.3589999999999982</c:v>
                </c:pt>
              </c:numCache>
            </c:numRef>
          </c:cat>
          <c:val>
            <c:numRef>
              <c:f>'Muestra 5'!$G$9:$G$15</c:f>
              <c:numCache>
                <c:formatCode>General</c:formatCode>
                <c:ptCount val="7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0-4F1B-B692-7F0CE993B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596575"/>
        <c:axId val="665597823"/>
      </c:barChart>
      <c:catAx>
        <c:axId val="66559657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97823"/>
        <c:crosses val="autoZero"/>
        <c:auto val="1"/>
        <c:lblAlgn val="ctr"/>
        <c:lblOffset val="100"/>
        <c:noMultiLvlLbl val="0"/>
      </c:catAx>
      <c:valAx>
        <c:axId val="66559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9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Diagrama de Frecuencia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'Muestra 6'!$F$9:$F$15</c:f>
              <c:numCache>
                <c:formatCode>0.00</c:formatCode>
                <c:ptCount val="7"/>
                <c:pt idx="0">
                  <c:v>2.4390000000000001</c:v>
                </c:pt>
                <c:pt idx="1">
                  <c:v>3.319</c:v>
                </c:pt>
                <c:pt idx="2">
                  <c:v>4.1989999999999998</c:v>
                </c:pt>
                <c:pt idx="3">
                  <c:v>5.0790000000000006</c:v>
                </c:pt>
                <c:pt idx="4">
                  <c:v>5.9589999999999996</c:v>
                </c:pt>
                <c:pt idx="5">
                  <c:v>6.8390000000000004</c:v>
                </c:pt>
                <c:pt idx="6">
                  <c:v>7.7189999999999994</c:v>
                </c:pt>
              </c:numCache>
            </c:numRef>
          </c:cat>
          <c:val>
            <c:numRef>
              <c:f>'Muestra 6'!$H$9:$H$15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15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E-479E-9CF0-C4F3F256A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342607"/>
        <c:axId val="1189344271"/>
      </c:barChart>
      <c:catAx>
        <c:axId val="11893426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44271"/>
        <c:crosses val="autoZero"/>
        <c:auto val="1"/>
        <c:lblAlgn val="ctr"/>
        <c:lblOffset val="100"/>
        <c:noMultiLvlLbl val="0"/>
      </c:catAx>
      <c:valAx>
        <c:axId val="118934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4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42698</xdr:colOff>
      <xdr:row>21</xdr:row>
      <xdr:rowOff>53866</xdr:rowOff>
    </xdr:from>
    <xdr:to>
      <xdr:col>8</xdr:col>
      <xdr:colOff>361293</xdr:colOff>
      <xdr:row>32</xdr:row>
      <xdr:rowOff>183931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19910</xdr:colOff>
      <xdr:row>31</xdr:row>
      <xdr:rowOff>36763</xdr:rowOff>
    </xdr:from>
    <xdr:to>
      <xdr:col>11</xdr:col>
      <xdr:colOff>701314</xdr:colOff>
      <xdr:row>45</xdr:row>
      <xdr:rowOff>112963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59262</xdr:colOff>
      <xdr:row>31</xdr:row>
      <xdr:rowOff>45298</xdr:rowOff>
    </xdr:from>
    <xdr:to>
      <xdr:col>10</xdr:col>
      <xdr:colOff>59262</xdr:colOff>
      <xdr:row>45</xdr:row>
      <xdr:rowOff>121498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697452</xdr:colOff>
      <xdr:row>24</xdr:row>
      <xdr:rowOff>13881</xdr:rowOff>
    </xdr:from>
    <xdr:to>
      <xdr:col>8</xdr:col>
      <xdr:colOff>697452</xdr:colOff>
      <xdr:row>38</xdr:row>
      <xdr:rowOff>90081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146539</xdr:colOff>
      <xdr:row>27</xdr:row>
      <xdr:rowOff>174381</xdr:rowOff>
    </xdr:from>
    <xdr:to>
      <xdr:col>9</xdr:col>
      <xdr:colOff>109904</xdr:colOff>
      <xdr:row>42</xdr:row>
      <xdr:rowOff>60081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37271</xdr:colOff>
      <xdr:row>28</xdr:row>
      <xdr:rowOff>28161</xdr:rowOff>
    </xdr:from>
    <xdr:to>
      <xdr:col>10</xdr:col>
      <xdr:colOff>37271</xdr:colOff>
      <xdr:row>42</xdr:row>
      <xdr:rowOff>104361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3"/>
  <sheetViews>
    <sheetView zoomScale="115" zoomScaleNormal="115" workbookViewId="0">
      <selection activeCell="J33" sqref="J33"/>
    </sheetView>
  </sheetViews>
  <sheetFormatPr baseColWidth="10" defaultRowHeight="15" x14ac:dyDescent="0.25"/>
  <cols>
    <col min="12" max="12" width="16.85546875" customWidth="1"/>
  </cols>
  <sheetData>
    <row r="2" spans="2:13" x14ac:dyDescent="0.25">
      <c r="B2" s="2" t="s">
        <v>0</v>
      </c>
      <c r="D2" s="3" t="s">
        <v>1</v>
      </c>
      <c r="E2" s="3" t="s">
        <v>2</v>
      </c>
      <c r="F2" s="3" t="s">
        <v>4</v>
      </c>
      <c r="G2" s="3" t="s">
        <v>7</v>
      </c>
      <c r="H2" s="3" t="s">
        <v>47</v>
      </c>
      <c r="I2" s="3" t="s">
        <v>46</v>
      </c>
    </row>
    <row r="4" spans="2:13" x14ac:dyDescent="0.25">
      <c r="B4" s="1">
        <v>0.15</v>
      </c>
      <c r="D4" s="13">
        <v>0</v>
      </c>
      <c r="E4" s="13">
        <v>0.19</v>
      </c>
      <c r="F4">
        <f t="array" ref="F4:F8">FREQUENCY(B4:B33,E4:E8)</f>
        <v>8</v>
      </c>
      <c r="G4">
        <v>6</v>
      </c>
      <c r="H4" s="1">
        <f>((G4-F4)^2)/G4</f>
        <v>0.66666666666666663</v>
      </c>
      <c r="I4" s="1">
        <f>H4</f>
        <v>0.66666666666666663</v>
      </c>
    </row>
    <row r="5" spans="2:13" x14ac:dyDescent="0.25">
      <c r="B5" s="1">
        <v>0.22</v>
      </c>
      <c r="D5" s="13">
        <v>0.2</v>
      </c>
      <c r="E5" s="13">
        <v>0.39</v>
      </c>
      <c r="F5">
        <v>7</v>
      </c>
      <c r="G5">
        <v>6</v>
      </c>
      <c r="H5" s="1">
        <f>((G5-F5)^2)/G5</f>
        <v>0.16666666666666666</v>
      </c>
      <c r="I5" s="1">
        <f>H5+I4</f>
        <v>0.83333333333333326</v>
      </c>
    </row>
    <row r="6" spans="2:13" x14ac:dyDescent="0.25">
      <c r="B6" s="1">
        <v>0.41</v>
      </c>
      <c r="D6" s="13">
        <v>0.4</v>
      </c>
      <c r="E6" s="13">
        <v>0.59</v>
      </c>
      <c r="F6">
        <v>5</v>
      </c>
      <c r="G6">
        <v>6</v>
      </c>
      <c r="H6" s="1">
        <f>((G6-F6)^2)/G6</f>
        <v>0.16666666666666666</v>
      </c>
      <c r="I6" s="1">
        <f>H6+I5</f>
        <v>0.99999999999999989</v>
      </c>
    </row>
    <row r="7" spans="2:13" x14ac:dyDescent="0.25">
      <c r="B7" s="1">
        <v>0.65</v>
      </c>
      <c r="D7" s="13">
        <v>0.6</v>
      </c>
      <c r="E7" s="13">
        <v>0.79</v>
      </c>
      <c r="F7">
        <v>4</v>
      </c>
      <c r="G7">
        <v>6</v>
      </c>
      <c r="H7" s="1">
        <f>((G7-F7)^2)/G7</f>
        <v>0.66666666666666663</v>
      </c>
      <c r="I7" s="1">
        <f>H7+I6</f>
        <v>1.6666666666666665</v>
      </c>
    </row>
    <row r="8" spans="2:13" x14ac:dyDescent="0.25">
      <c r="B8" s="1">
        <v>0.84</v>
      </c>
      <c r="D8" s="13">
        <v>0.8</v>
      </c>
      <c r="E8" s="13">
        <v>0.99</v>
      </c>
      <c r="F8">
        <v>6</v>
      </c>
      <c r="G8">
        <v>6</v>
      </c>
      <c r="H8" s="1">
        <f>((G8-F8)^2)/G8</f>
        <v>0</v>
      </c>
      <c r="I8" s="17">
        <f>H8+I7</f>
        <v>1.6666666666666665</v>
      </c>
      <c r="J8" s="14" t="s">
        <v>19</v>
      </c>
    </row>
    <row r="9" spans="2:13" x14ac:dyDescent="0.25">
      <c r="B9" s="1">
        <v>0.81</v>
      </c>
      <c r="E9" s="19"/>
      <c r="F9" s="4">
        <f>SUM(F4:F8)</f>
        <v>30</v>
      </c>
      <c r="H9" s="18"/>
      <c r="I9" s="17">
        <v>9.49</v>
      </c>
      <c r="J9" s="14" t="s">
        <v>20</v>
      </c>
    </row>
    <row r="10" spans="2:13" x14ac:dyDescent="0.25">
      <c r="B10" s="1">
        <v>0.62</v>
      </c>
    </row>
    <row r="11" spans="2:13" x14ac:dyDescent="0.25">
      <c r="B11" s="1">
        <v>0.45</v>
      </c>
      <c r="D11" s="3" t="s">
        <v>1</v>
      </c>
      <c r="E11" s="3" t="s">
        <v>2</v>
      </c>
      <c r="F11" s="3" t="s">
        <v>4</v>
      </c>
      <c r="G11" s="3" t="s">
        <v>7</v>
      </c>
      <c r="H11" s="3" t="s">
        <v>45</v>
      </c>
      <c r="I11" s="3" t="s">
        <v>44</v>
      </c>
      <c r="J11" s="3" t="s">
        <v>43</v>
      </c>
      <c r="K11" s="3" t="s">
        <v>42</v>
      </c>
      <c r="L11" s="3" t="s">
        <v>25</v>
      </c>
      <c r="M11" s="3" t="s">
        <v>10</v>
      </c>
    </row>
    <row r="12" spans="2:13" x14ac:dyDescent="0.25">
      <c r="B12" s="1">
        <v>0.32</v>
      </c>
    </row>
    <row r="13" spans="2:13" x14ac:dyDescent="0.25">
      <c r="B13" s="1">
        <v>7.0000000000000007E-2</v>
      </c>
      <c r="D13" s="13">
        <f t="shared" ref="D13:G17" si="0">D4</f>
        <v>0</v>
      </c>
      <c r="E13" s="13">
        <f t="shared" si="0"/>
        <v>0.19</v>
      </c>
      <c r="F13">
        <f t="shared" si="0"/>
        <v>8</v>
      </c>
      <c r="G13">
        <f t="shared" si="0"/>
        <v>6</v>
      </c>
      <c r="H13" s="1">
        <f t="shared" ref="H13:I17" si="1">F13/$F$18</f>
        <v>0.26666666666666666</v>
      </c>
      <c r="I13" s="1">
        <f t="shared" si="1"/>
        <v>0.2</v>
      </c>
      <c r="J13" s="1">
        <f>H13</f>
        <v>0.26666666666666666</v>
      </c>
      <c r="K13" s="1">
        <f>I13</f>
        <v>0.2</v>
      </c>
      <c r="L13" s="6">
        <f>ABS(J13-K13)</f>
        <v>6.6666666666666652E-2</v>
      </c>
      <c r="M13" s="6">
        <f>L13</f>
        <v>6.6666666666666652E-2</v>
      </c>
    </row>
    <row r="14" spans="2:13" x14ac:dyDescent="0.25">
      <c r="B14" s="1">
        <v>0.11</v>
      </c>
      <c r="D14" s="13">
        <f t="shared" si="0"/>
        <v>0.2</v>
      </c>
      <c r="E14" s="13">
        <f t="shared" si="0"/>
        <v>0.39</v>
      </c>
      <c r="F14">
        <f t="shared" si="0"/>
        <v>7</v>
      </c>
      <c r="G14">
        <f t="shared" si="0"/>
        <v>6</v>
      </c>
      <c r="H14" s="1">
        <f t="shared" si="1"/>
        <v>0.23333333333333334</v>
      </c>
      <c r="I14" s="1">
        <f t="shared" si="1"/>
        <v>0.2</v>
      </c>
      <c r="J14" s="1">
        <f t="shared" ref="J14:K17" si="2">H14+J13</f>
        <v>0.5</v>
      </c>
      <c r="K14" s="1">
        <f t="shared" si="2"/>
        <v>0.4</v>
      </c>
      <c r="L14" s="6">
        <f>ABS(J14-K14)</f>
        <v>9.9999999999999978E-2</v>
      </c>
      <c r="M14" s="6">
        <f>MAX(L14,M13)</f>
        <v>9.9999999999999978E-2</v>
      </c>
    </row>
    <row r="15" spans="2:13" x14ac:dyDescent="0.25">
      <c r="B15" s="1">
        <v>0.28999999999999998</v>
      </c>
      <c r="D15" s="13">
        <f t="shared" si="0"/>
        <v>0.4</v>
      </c>
      <c r="E15" s="13">
        <f t="shared" si="0"/>
        <v>0.59</v>
      </c>
      <c r="F15">
        <f t="shared" si="0"/>
        <v>5</v>
      </c>
      <c r="G15">
        <f t="shared" si="0"/>
        <v>6</v>
      </c>
      <c r="H15" s="1">
        <f t="shared" si="1"/>
        <v>0.16666666666666666</v>
      </c>
      <c r="I15" s="1">
        <f t="shared" si="1"/>
        <v>0.2</v>
      </c>
      <c r="J15" s="1">
        <f t="shared" si="2"/>
        <v>0.66666666666666663</v>
      </c>
      <c r="K15" s="1">
        <f t="shared" si="2"/>
        <v>0.60000000000000009</v>
      </c>
      <c r="L15" s="6">
        <f>ABS(J15-K15)</f>
        <v>6.6666666666666541E-2</v>
      </c>
      <c r="M15" s="6">
        <f>MAX(L15,M14)</f>
        <v>9.9999999999999978E-2</v>
      </c>
    </row>
    <row r="16" spans="2:13" x14ac:dyDescent="0.25">
      <c r="B16" s="1">
        <v>0.57999999999999996</v>
      </c>
      <c r="D16" s="13">
        <f t="shared" si="0"/>
        <v>0.6</v>
      </c>
      <c r="E16" s="13">
        <f t="shared" si="0"/>
        <v>0.79</v>
      </c>
      <c r="F16">
        <f t="shared" si="0"/>
        <v>4</v>
      </c>
      <c r="G16">
        <f t="shared" si="0"/>
        <v>6</v>
      </c>
      <c r="H16" s="1">
        <f t="shared" si="1"/>
        <v>0.13333333333333333</v>
      </c>
      <c r="I16" s="1">
        <f t="shared" si="1"/>
        <v>0.2</v>
      </c>
      <c r="J16" s="1">
        <f t="shared" si="2"/>
        <v>0.79999999999999993</v>
      </c>
      <c r="K16" s="1">
        <f t="shared" si="2"/>
        <v>0.8</v>
      </c>
      <c r="L16" s="6">
        <f>ABS(J16-K16)</f>
        <v>1.1102230246251565E-16</v>
      </c>
      <c r="M16" s="6">
        <f>MAX(L16,M15)</f>
        <v>9.9999999999999978E-2</v>
      </c>
    </row>
    <row r="17" spans="2:14" x14ac:dyDescent="0.25">
      <c r="B17" s="1">
        <v>0.73</v>
      </c>
      <c r="D17" s="13">
        <f t="shared" si="0"/>
        <v>0.8</v>
      </c>
      <c r="E17" s="13">
        <f t="shared" si="0"/>
        <v>0.99</v>
      </c>
      <c r="F17">
        <f t="shared" si="0"/>
        <v>6</v>
      </c>
      <c r="G17">
        <f t="shared" si="0"/>
        <v>6</v>
      </c>
      <c r="H17" s="1">
        <f t="shared" si="1"/>
        <v>0.2</v>
      </c>
      <c r="I17" s="1">
        <f t="shared" si="1"/>
        <v>0.2</v>
      </c>
      <c r="J17" s="1">
        <f t="shared" si="2"/>
        <v>1</v>
      </c>
      <c r="K17" s="1">
        <f t="shared" si="2"/>
        <v>1</v>
      </c>
      <c r="L17" s="6">
        <f>ABS(J17-K17)</f>
        <v>0</v>
      </c>
      <c r="M17" s="9">
        <f>MAX(L17,M16)</f>
        <v>9.9999999999999978E-2</v>
      </c>
      <c r="N17" s="14" t="s">
        <v>19</v>
      </c>
    </row>
    <row r="18" spans="2:14" x14ac:dyDescent="0.25">
      <c r="B18" s="1">
        <v>0.93</v>
      </c>
      <c r="F18" s="4">
        <f>F9</f>
        <v>30</v>
      </c>
      <c r="H18" s="12">
        <f>SUM(H13:H17)</f>
        <v>1</v>
      </c>
      <c r="I18" s="12">
        <f>SUM(I13:I17)</f>
        <v>1</v>
      </c>
      <c r="L18" s="16"/>
      <c r="M18" s="15">
        <v>0.24</v>
      </c>
      <c r="N18" s="14" t="s">
        <v>20</v>
      </c>
    </row>
    <row r="19" spans="2:14" x14ac:dyDescent="0.25">
      <c r="B19" s="1">
        <v>0.97</v>
      </c>
    </row>
    <row r="20" spans="2:14" x14ac:dyDescent="0.25">
      <c r="B20" s="1">
        <v>0.79</v>
      </c>
    </row>
    <row r="21" spans="2:14" x14ac:dyDescent="0.25">
      <c r="B21" s="1">
        <v>0.55000000000000004</v>
      </c>
    </row>
    <row r="22" spans="2:14" x14ac:dyDescent="0.25">
      <c r="B22" s="1">
        <v>0.35</v>
      </c>
    </row>
    <row r="23" spans="2:14" x14ac:dyDescent="0.25">
      <c r="B23" s="1">
        <v>0.09</v>
      </c>
    </row>
    <row r="24" spans="2:14" x14ac:dyDescent="0.25">
      <c r="B24" s="1">
        <v>0.99</v>
      </c>
    </row>
    <row r="25" spans="2:14" x14ac:dyDescent="0.25">
      <c r="B25" s="1">
        <v>0.51</v>
      </c>
    </row>
    <row r="26" spans="2:14" x14ac:dyDescent="0.25">
      <c r="B26" s="1">
        <v>0.35</v>
      </c>
    </row>
    <row r="27" spans="2:14" x14ac:dyDescent="0.25">
      <c r="B27" s="1">
        <v>0.02</v>
      </c>
    </row>
    <row r="28" spans="2:14" x14ac:dyDescent="0.25">
      <c r="B28" s="1">
        <v>0.19</v>
      </c>
    </row>
    <row r="29" spans="2:14" x14ac:dyDescent="0.25">
      <c r="B29" s="1">
        <v>0.24</v>
      </c>
    </row>
    <row r="30" spans="2:14" x14ac:dyDescent="0.25">
      <c r="B30" s="1">
        <v>0.98</v>
      </c>
    </row>
    <row r="31" spans="2:14" x14ac:dyDescent="0.25">
      <c r="B31" s="1">
        <v>0.1</v>
      </c>
    </row>
    <row r="32" spans="2:14" x14ac:dyDescent="0.25">
      <c r="B32" s="1">
        <v>0.31</v>
      </c>
    </row>
    <row r="33" spans="2:2" x14ac:dyDescent="0.25">
      <c r="B33" s="1">
        <v>0.17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4"/>
  <sheetViews>
    <sheetView topLeftCell="A19" zoomScale="115" zoomScaleNormal="115" workbookViewId="0">
      <selection activeCell="N40" sqref="N40"/>
    </sheetView>
  </sheetViews>
  <sheetFormatPr baseColWidth="10" defaultRowHeight="15" x14ac:dyDescent="0.25"/>
  <cols>
    <col min="4" max="4" width="8.85546875" customWidth="1"/>
    <col min="5" max="5" width="9.28515625" customWidth="1"/>
    <col min="8" max="8" width="12.5703125" customWidth="1"/>
    <col min="9" max="9" width="11.5703125" customWidth="1"/>
    <col min="12" max="12" width="15.42578125" customWidth="1"/>
    <col min="16" max="16" width="11.85546875" bestFit="1" customWidth="1"/>
  </cols>
  <sheetData>
    <row r="2" spans="2:20" x14ac:dyDescent="0.25">
      <c r="B2" s="2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N2" s="3" t="s">
        <v>1</v>
      </c>
      <c r="O2" s="3" t="s">
        <v>2</v>
      </c>
      <c r="P2" s="3" t="s">
        <v>4</v>
      </c>
      <c r="Q2" s="3" t="s">
        <v>7</v>
      </c>
      <c r="R2" s="3" t="s">
        <v>17</v>
      </c>
      <c r="S2" s="3" t="s">
        <v>18</v>
      </c>
    </row>
    <row r="4" spans="2:20" x14ac:dyDescent="0.25">
      <c r="B4" s="1">
        <v>0.1</v>
      </c>
      <c r="D4">
        <v>0</v>
      </c>
      <c r="E4" s="8">
        <v>0.99</v>
      </c>
      <c r="F4" s="13">
        <f t="shared" ref="F4:F13" si="0">(D4+E4)/2</f>
        <v>0.495</v>
      </c>
      <c r="G4">
        <f t="array" ref="G4:G13">FREQUENCY(B4:B33,E4:E13)</f>
        <v>10</v>
      </c>
      <c r="H4" s="6">
        <f t="shared" ref="H4:H13" si="1">Lambda*EXP(-Lambda*F4)*(E4-D4)</f>
        <v>0.31759381090780792</v>
      </c>
      <c r="I4" s="6">
        <f t="shared" ref="I4:I13" si="2">(1-EXP(-Lambda*E4))-(1-EXP(-Lambda*D4))</f>
        <v>0.3195590668076389</v>
      </c>
      <c r="J4" s="6">
        <f t="shared" ref="J4:J13" si="3">I4*N</f>
        <v>9.586772004229168</v>
      </c>
      <c r="N4">
        <f>D4</f>
        <v>0</v>
      </c>
      <c r="O4" s="8">
        <f>E4</f>
        <v>0.99</v>
      </c>
      <c r="P4">
        <f>G4</f>
        <v>10</v>
      </c>
      <c r="Q4" s="6">
        <f>J4</f>
        <v>9.586772004229168</v>
      </c>
      <c r="R4" s="6">
        <f>((Q4-P4)^2)/Q4</f>
        <v>1.7811769844265597E-2</v>
      </c>
      <c r="S4" s="6">
        <f>R4</f>
        <v>1.7811769844265597E-2</v>
      </c>
    </row>
    <row r="5" spans="2:20" x14ac:dyDescent="0.25">
      <c r="B5" s="1">
        <v>0.25</v>
      </c>
      <c r="D5">
        <v>1</v>
      </c>
      <c r="E5" s="8">
        <v>1.99</v>
      </c>
      <c r="F5" s="13">
        <f t="shared" si="0"/>
        <v>1.4950000000000001</v>
      </c>
      <c r="G5">
        <v>6</v>
      </c>
      <c r="H5" s="6">
        <f t="shared" si="1"/>
        <v>0.21526502628632493</v>
      </c>
      <c r="I5" s="6">
        <f t="shared" si="2"/>
        <v>0.21659707637170666</v>
      </c>
      <c r="J5" s="6">
        <f t="shared" si="3"/>
        <v>6.4979122911512004</v>
      </c>
      <c r="N5">
        <f>D5</f>
        <v>1</v>
      </c>
      <c r="O5" s="8">
        <f>E5</f>
        <v>1.99</v>
      </c>
      <c r="P5">
        <f>G5</f>
        <v>6</v>
      </c>
      <c r="Q5" s="6">
        <f>J5</f>
        <v>6.4979122911512004</v>
      </c>
      <c r="R5" s="6">
        <f>((Q5-P5)^2)/Q5</f>
        <v>3.8153277325249285E-2</v>
      </c>
      <c r="S5" s="6">
        <f>R5+S4</f>
        <v>5.5965047169514878E-2</v>
      </c>
    </row>
    <row r="6" spans="2:20" x14ac:dyDescent="0.25">
      <c r="B6" s="1">
        <v>1.53</v>
      </c>
      <c r="D6">
        <v>2</v>
      </c>
      <c r="E6" s="8">
        <v>2.99</v>
      </c>
      <c r="F6" s="13">
        <f t="shared" si="0"/>
        <v>2.4950000000000001</v>
      </c>
      <c r="G6">
        <v>4</v>
      </c>
      <c r="H6" s="6">
        <f t="shared" si="1"/>
        <v>0.14590659499817399</v>
      </c>
      <c r="I6" s="6">
        <f t="shared" si="2"/>
        <v>0.14680945829964953</v>
      </c>
      <c r="J6" s="6">
        <f t="shared" si="3"/>
        <v>4.4042837489894859</v>
      </c>
      <c r="N6">
        <f>D6</f>
        <v>2</v>
      </c>
      <c r="O6" s="8">
        <f>E7</f>
        <v>3.99</v>
      </c>
      <c r="P6">
        <f>SUM(G6:G7)</f>
        <v>7</v>
      </c>
      <c r="Q6" s="6">
        <f>SUM(J6:J7)</f>
        <v>7.389506459371173</v>
      </c>
      <c r="R6" s="6">
        <f>((Q6-P6)^2)/Q6</f>
        <v>2.0531179277807655E-2</v>
      </c>
      <c r="S6" s="6">
        <f>R6+S5</f>
        <v>7.6496226447322541E-2</v>
      </c>
    </row>
    <row r="7" spans="2:20" x14ac:dyDescent="0.25">
      <c r="B7" s="1">
        <v>2.83</v>
      </c>
      <c r="D7">
        <v>3</v>
      </c>
      <c r="E7" s="8">
        <v>3.99</v>
      </c>
      <c r="F7" s="13">
        <f t="shared" si="0"/>
        <v>3.4950000000000001</v>
      </c>
      <c r="G7">
        <v>3</v>
      </c>
      <c r="H7" s="6">
        <f t="shared" si="1"/>
        <v>9.8895463100656791E-2</v>
      </c>
      <c r="I7" s="6">
        <f t="shared" si="2"/>
        <v>9.9507423679389584E-2</v>
      </c>
      <c r="J7" s="6">
        <f t="shared" si="3"/>
        <v>2.9852227103816875</v>
      </c>
      <c r="N7">
        <f>D8</f>
        <v>4</v>
      </c>
      <c r="O7" s="8">
        <f>E13</f>
        <v>9.99</v>
      </c>
      <c r="P7">
        <f>SUM(G8:G13)</f>
        <v>7</v>
      </c>
      <c r="Q7" s="6">
        <f>SUM(J8:J13)</f>
        <v>5.6709740478801791</v>
      </c>
      <c r="R7" s="6">
        <f>((Q7-P7)^2)/Q7</f>
        <v>0.31146500874364719</v>
      </c>
      <c r="S7" s="9">
        <f>R7+S6</f>
        <v>0.3879612351909697</v>
      </c>
      <c r="T7" t="s">
        <v>19</v>
      </c>
    </row>
    <row r="8" spans="2:20" x14ac:dyDescent="0.25">
      <c r="B8" s="1">
        <v>3.5</v>
      </c>
      <c r="D8">
        <v>4</v>
      </c>
      <c r="E8" s="8">
        <v>4.99</v>
      </c>
      <c r="F8" s="13">
        <f t="shared" si="0"/>
        <v>4.4950000000000001</v>
      </c>
      <c r="G8">
        <v>2</v>
      </c>
      <c r="H8" s="6">
        <f t="shared" si="1"/>
        <v>6.7031326596414448E-2</v>
      </c>
      <c r="I8" s="6">
        <f t="shared" si="2"/>
        <v>6.7446113363482052E-2</v>
      </c>
      <c r="J8" s="6">
        <f t="shared" si="3"/>
        <v>2.0233834009044616</v>
      </c>
      <c r="R8" s="6"/>
      <c r="S8" s="9">
        <v>5.99</v>
      </c>
      <c r="T8" t="s">
        <v>20</v>
      </c>
    </row>
    <row r="9" spans="2:20" x14ac:dyDescent="0.25">
      <c r="B9" s="1">
        <v>4.1399999999999997</v>
      </c>
      <c r="D9">
        <v>5</v>
      </c>
      <c r="E9" s="8">
        <v>5.99</v>
      </c>
      <c r="F9" s="13">
        <f t="shared" si="0"/>
        <v>5.4950000000000001</v>
      </c>
      <c r="G9">
        <v>2</v>
      </c>
      <c r="H9" s="6">
        <f t="shared" si="1"/>
        <v>4.5433820767914863E-2</v>
      </c>
      <c r="I9" s="6">
        <f t="shared" si="2"/>
        <v>4.571496316190804E-2</v>
      </c>
      <c r="J9" s="6">
        <f t="shared" si="3"/>
        <v>1.3714488948572412</v>
      </c>
    </row>
    <row r="10" spans="2:20" x14ac:dyDescent="0.25">
      <c r="B10" s="1">
        <v>5.65</v>
      </c>
      <c r="D10">
        <v>6</v>
      </c>
      <c r="E10" s="8">
        <v>6.99</v>
      </c>
      <c r="F10" s="13">
        <f t="shared" si="0"/>
        <v>6.4950000000000001</v>
      </c>
      <c r="G10">
        <v>1</v>
      </c>
      <c r="H10" s="6">
        <f t="shared" si="1"/>
        <v>3.0795035312361385E-2</v>
      </c>
      <c r="I10" s="6">
        <f t="shared" si="2"/>
        <v>3.0985593575005521E-2</v>
      </c>
      <c r="J10" s="6">
        <f t="shared" si="3"/>
        <v>0.92956780725016563</v>
      </c>
    </row>
    <row r="11" spans="2:20" x14ac:dyDescent="0.25">
      <c r="B11" s="1">
        <v>6.96</v>
      </c>
      <c r="D11">
        <v>7</v>
      </c>
      <c r="E11" s="8">
        <v>7.99</v>
      </c>
      <c r="F11" s="13">
        <f t="shared" si="0"/>
        <v>7.4950000000000001</v>
      </c>
      <c r="G11">
        <v>1</v>
      </c>
      <c r="H11" s="6">
        <f t="shared" si="1"/>
        <v>2.0872869238399903E-2</v>
      </c>
      <c r="I11" s="6">
        <f t="shared" si="2"/>
        <v>2.1002029593571558E-2</v>
      </c>
      <c r="J11" s="6">
        <f t="shared" si="3"/>
        <v>0.63006088780714675</v>
      </c>
    </row>
    <row r="12" spans="2:20" x14ac:dyDescent="0.25">
      <c r="B12" s="1">
        <v>7.19</v>
      </c>
      <c r="D12">
        <v>8</v>
      </c>
      <c r="E12" s="8">
        <v>8.99</v>
      </c>
      <c r="F12" s="13">
        <f t="shared" si="0"/>
        <v>8.495000000000001</v>
      </c>
      <c r="G12">
        <v>1</v>
      </c>
      <c r="H12" s="6">
        <f t="shared" si="1"/>
        <v>1.4147626908823723E-2</v>
      </c>
      <c r="I12" s="6">
        <f t="shared" si="2"/>
        <v>1.4235171773667621E-2</v>
      </c>
      <c r="J12" s="6">
        <f t="shared" si="3"/>
        <v>0.42705515321002863</v>
      </c>
    </row>
    <row r="13" spans="2:20" x14ac:dyDescent="0.25">
      <c r="B13" s="1">
        <v>8.25</v>
      </c>
      <c r="D13">
        <v>9</v>
      </c>
      <c r="E13" s="8">
        <v>9.99</v>
      </c>
      <c r="F13" s="13">
        <f t="shared" si="0"/>
        <v>9.495000000000001</v>
      </c>
      <c r="G13">
        <v>0</v>
      </c>
      <c r="H13" s="6">
        <f t="shared" si="1"/>
        <v>9.5892589018402238E-3</v>
      </c>
      <c r="I13" s="6">
        <f t="shared" si="2"/>
        <v>9.6485967950378226E-3</v>
      </c>
      <c r="J13" s="6">
        <f t="shared" si="3"/>
        <v>0.28945790385113468</v>
      </c>
    </row>
    <row r="14" spans="2:20" x14ac:dyDescent="0.25">
      <c r="B14" s="1">
        <v>1.2</v>
      </c>
      <c r="I14" s="7">
        <f>SUM(I4:I13)</f>
        <v>0.9715054934210573</v>
      </c>
    </row>
    <row r="15" spans="2:20" x14ac:dyDescent="0.25">
      <c r="B15" s="1">
        <v>5.24</v>
      </c>
    </row>
    <row r="16" spans="2:20" x14ac:dyDescent="0.25">
      <c r="B16" s="1">
        <v>4.75</v>
      </c>
    </row>
    <row r="17" spans="2:17" x14ac:dyDescent="0.25">
      <c r="B17" s="1">
        <v>3.96</v>
      </c>
    </row>
    <row r="18" spans="2:17" x14ac:dyDescent="0.25">
      <c r="B18" s="1">
        <v>2.21</v>
      </c>
      <c r="D18" s="3" t="s">
        <v>1</v>
      </c>
      <c r="E18" s="3" t="s">
        <v>2</v>
      </c>
      <c r="F18" s="3" t="s">
        <v>4</v>
      </c>
      <c r="G18" s="3" t="s">
        <v>7</v>
      </c>
      <c r="H18" s="3" t="s">
        <v>21</v>
      </c>
      <c r="I18" s="3" t="s">
        <v>22</v>
      </c>
      <c r="J18" s="3" t="s">
        <v>23</v>
      </c>
      <c r="K18" s="3" t="s">
        <v>24</v>
      </c>
      <c r="L18" s="3" t="s">
        <v>25</v>
      </c>
      <c r="M18" s="3" t="s">
        <v>26</v>
      </c>
    </row>
    <row r="19" spans="2:17" x14ac:dyDescent="0.25">
      <c r="B19" s="1">
        <v>3.15</v>
      </c>
    </row>
    <row r="20" spans="2:17" x14ac:dyDescent="0.25">
      <c r="B20" s="1">
        <v>2.5299999999999998</v>
      </c>
      <c r="D20">
        <f t="shared" ref="D20:E29" si="4">D4</f>
        <v>0</v>
      </c>
      <c r="E20" s="8">
        <f t="shared" si="4"/>
        <v>0.99</v>
      </c>
      <c r="F20">
        <f t="shared" ref="F20:F29" si="5">G4</f>
        <v>10</v>
      </c>
      <c r="G20" s="6">
        <f t="shared" ref="G20:G29" si="6">J4</f>
        <v>9.586772004229168</v>
      </c>
      <c r="H20" s="6">
        <f t="shared" ref="H20:H29" si="7">F20/N</f>
        <v>0.33333333333333331</v>
      </c>
      <c r="I20" s="6">
        <f t="shared" ref="I20:I29" si="8">I4</f>
        <v>0.3195590668076389</v>
      </c>
      <c r="J20" s="6">
        <f>H20</f>
        <v>0.33333333333333331</v>
      </c>
      <c r="K20" s="6">
        <f>I20</f>
        <v>0.3195590668076389</v>
      </c>
      <c r="L20" s="6">
        <f t="shared" ref="L20:L29" si="9">ABS(J20-K20)</f>
        <v>1.3774266525694412E-2</v>
      </c>
      <c r="M20" s="6">
        <f>L20</f>
        <v>1.3774266525694412E-2</v>
      </c>
    </row>
    <row r="21" spans="2:17" x14ac:dyDescent="0.25">
      <c r="B21" s="1">
        <v>1.1599999999999999</v>
      </c>
      <c r="D21">
        <f t="shared" si="4"/>
        <v>1</v>
      </c>
      <c r="E21" s="8">
        <f t="shared" si="4"/>
        <v>1.99</v>
      </c>
      <c r="F21">
        <f t="shared" si="5"/>
        <v>6</v>
      </c>
      <c r="G21" s="6">
        <f t="shared" si="6"/>
        <v>6.4979122911512004</v>
      </c>
      <c r="H21" s="6">
        <f t="shared" si="7"/>
        <v>0.2</v>
      </c>
      <c r="I21" s="6">
        <f t="shared" si="8"/>
        <v>0.21659707637170666</v>
      </c>
      <c r="J21" s="6">
        <f t="shared" ref="J21:J29" si="10">H21+J20</f>
        <v>0.53333333333333333</v>
      </c>
      <c r="K21" s="6">
        <f t="shared" ref="K21:K29" si="11">I21+K20</f>
        <v>0.53615614317934557</v>
      </c>
      <c r="L21" s="6">
        <f t="shared" si="9"/>
        <v>2.8228098460122419E-3</v>
      </c>
      <c r="M21" s="6">
        <f t="shared" ref="M21:M29" si="12">MAX(L21,M20)</f>
        <v>1.3774266525694412E-2</v>
      </c>
      <c r="P21" s="4"/>
      <c r="Q21" s="4"/>
    </row>
    <row r="22" spans="2:17" x14ac:dyDescent="0.25">
      <c r="B22" s="1">
        <v>0.32</v>
      </c>
      <c r="D22">
        <f t="shared" si="4"/>
        <v>2</v>
      </c>
      <c r="E22" s="8">
        <f t="shared" si="4"/>
        <v>2.99</v>
      </c>
      <c r="F22">
        <f t="shared" si="5"/>
        <v>4</v>
      </c>
      <c r="G22" s="6">
        <f t="shared" si="6"/>
        <v>4.4042837489894859</v>
      </c>
      <c r="H22" s="6">
        <f t="shared" si="7"/>
        <v>0.13333333333333333</v>
      </c>
      <c r="I22" s="6">
        <f t="shared" si="8"/>
        <v>0.14680945829964953</v>
      </c>
      <c r="J22" s="6">
        <f t="shared" si="10"/>
        <v>0.66666666666666663</v>
      </c>
      <c r="K22" s="6">
        <f t="shared" si="11"/>
        <v>0.6829656014789951</v>
      </c>
      <c r="L22" s="6">
        <f t="shared" si="9"/>
        <v>1.6298934812328469E-2</v>
      </c>
      <c r="M22" s="6">
        <f t="shared" si="12"/>
        <v>1.6298934812328469E-2</v>
      </c>
      <c r="P22" s="4"/>
      <c r="Q22" s="4"/>
    </row>
    <row r="23" spans="2:17" x14ac:dyDescent="0.25">
      <c r="B23" s="1">
        <v>0.9</v>
      </c>
      <c r="D23">
        <f t="shared" si="4"/>
        <v>3</v>
      </c>
      <c r="E23" s="8">
        <f t="shared" si="4"/>
        <v>3.99</v>
      </c>
      <c r="F23">
        <f t="shared" si="5"/>
        <v>3</v>
      </c>
      <c r="G23" s="6">
        <f t="shared" si="6"/>
        <v>2.9852227103816875</v>
      </c>
      <c r="H23" s="6">
        <f t="shared" si="7"/>
        <v>0.1</v>
      </c>
      <c r="I23" s="6">
        <f t="shared" si="8"/>
        <v>9.9507423679389584E-2</v>
      </c>
      <c r="J23" s="6">
        <f t="shared" si="10"/>
        <v>0.76666666666666661</v>
      </c>
      <c r="K23" s="6">
        <f t="shared" si="11"/>
        <v>0.78247302515838468</v>
      </c>
      <c r="L23" s="6">
        <f t="shared" si="9"/>
        <v>1.5806358491718075E-2</v>
      </c>
      <c r="M23" s="6">
        <f t="shared" si="12"/>
        <v>1.6298934812328469E-2</v>
      </c>
      <c r="P23" s="4"/>
      <c r="Q23" s="4"/>
    </row>
    <row r="24" spans="2:17" x14ac:dyDescent="0.25">
      <c r="B24" s="1">
        <v>0.87</v>
      </c>
      <c r="D24">
        <f t="shared" si="4"/>
        <v>4</v>
      </c>
      <c r="E24" s="8">
        <f t="shared" si="4"/>
        <v>4.99</v>
      </c>
      <c r="F24">
        <f t="shared" si="5"/>
        <v>2</v>
      </c>
      <c r="G24" s="6">
        <f t="shared" si="6"/>
        <v>2.0233834009044616</v>
      </c>
      <c r="H24" s="6">
        <f t="shared" si="7"/>
        <v>6.6666666666666666E-2</v>
      </c>
      <c r="I24" s="6">
        <f t="shared" si="8"/>
        <v>6.7446113363482052E-2</v>
      </c>
      <c r="J24" s="6">
        <f t="shared" si="10"/>
        <v>0.83333333333333326</v>
      </c>
      <c r="K24" s="6">
        <f t="shared" si="11"/>
        <v>0.84991913852186673</v>
      </c>
      <c r="L24" s="6">
        <f t="shared" si="9"/>
        <v>1.6585805188533476E-2</v>
      </c>
      <c r="M24" s="6">
        <f t="shared" si="12"/>
        <v>1.6585805188533476E-2</v>
      </c>
    </row>
    <row r="25" spans="2:17" x14ac:dyDescent="0.25">
      <c r="B25" s="1">
        <v>1.34</v>
      </c>
      <c r="D25">
        <f t="shared" si="4"/>
        <v>5</v>
      </c>
      <c r="E25" s="8">
        <f t="shared" si="4"/>
        <v>5.99</v>
      </c>
      <c r="F25">
        <f t="shared" si="5"/>
        <v>2</v>
      </c>
      <c r="G25" s="6">
        <f t="shared" si="6"/>
        <v>1.3714488948572412</v>
      </c>
      <c r="H25" s="6">
        <f t="shared" si="7"/>
        <v>6.6666666666666666E-2</v>
      </c>
      <c r="I25" s="6">
        <f t="shared" si="8"/>
        <v>4.571496316190804E-2</v>
      </c>
      <c r="J25" s="6">
        <f t="shared" si="10"/>
        <v>0.89999999999999991</v>
      </c>
      <c r="K25" s="6">
        <f t="shared" si="11"/>
        <v>0.89563410168377477</v>
      </c>
      <c r="L25" s="6">
        <f t="shared" si="9"/>
        <v>4.3658983162251364E-3</v>
      </c>
      <c r="M25" s="6">
        <f t="shared" si="12"/>
        <v>1.6585805188533476E-2</v>
      </c>
      <c r="P25" s="4"/>
      <c r="Q25" s="12"/>
    </row>
    <row r="26" spans="2:17" x14ac:dyDescent="0.25">
      <c r="B26" s="1">
        <v>1.87</v>
      </c>
      <c r="D26">
        <f t="shared" si="4"/>
        <v>6</v>
      </c>
      <c r="E26" s="8">
        <f t="shared" si="4"/>
        <v>6.99</v>
      </c>
      <c r="F26">
        <f t="shared" si="5"/>
        <v>1</v>
      </c>
      <c r="G26" s="6">
        <f t="shared" si="6"/>
        <v>0.92956780725016563</v>
      </c>
      <c r="H26" s="6">
        <f t="shared" si="7"/>
        <v>3.3333333333333333E-2</v>
      </c>
      <c r="I26" s="6">
        <f t="shared" si="8"/>
        <v>3.0985593575005521E-2</v>
      </c>
      <c r="J26" s="6">
        <f t="shared" si="10"/>
        <v>0.93333333333333324</v>
      </c>
      <c r="K26" s="6">
        <f t="shared" si="11"/>
        <v>0.9266196952587803</v>
      </c>
      <c r="L26" s="6">
        <f t="shared" si="9"/>
        <v>6.7136380745529411E-3</v>
      </c>
      <c r="M26" s="6">
        <f t="shared" si="12"/>
        <v>1.6585805188533476E-2</v>
      </c>
      <c r="P26" s="4"/>
      <c r="Q26" s="4"/>
    </row>
    <row r="27" spans="2:17" x14ac:dyDescent="0.25">
      <c r="B27" s="1">
        <v>2.91</v>
      </c>
      <c r="D27">
        <f t="shared" si="4"/>
        <v>7</v>
      </c>
      <c r="E27" s="8">
        <f t="shared" si="4"/>
        <v>7.99</v>
      </c>
      <c r="F27">
        <f t="shared" si="5"/>
        <v>1</v>
      </c>
      <c r="G27" s="6">
        <f t="shared" si="6"/>
        <v>0.63006088780714675</v>
      </c>
      <c r="H27" s="6">
        <f t="shared" si="7"/>
        <v>3.3333333333333333E-2</v>
      </c>
      <c r="I27" s="6">
        <f t="shared" si="8"/>
        <v>2.1002029593571558E-2</v>
      </c>
      <c r="J27" s="6">
        <f t="shared" si="10"/>
        <v>0.96666666666666656</v>
      </c>
      <c r="K27" s="6">
        <f t="shared" si="11"/>
        <v>0.94762172485235185</v>
      </c>
      <c r="L27" s="6">
        <f t="shared" si="9"/>
        <v>1.9044941814314709E-2</v>
      </c>
      <c r="M27" s="6">
        <f t="shared" si="12"/>
        <v>1.9044941814314709E-2</v>
      </c>
    </row>
    <row r="28" spans="2:17" x14ac:dyDescent="0.25">
      <c r="B28" s="1">
        <v>0.71</v>
      </c>
      <c r="D28">
        <f t="shared" si="4"/>
        <v>8</v>
      </c>
      <c r="E28" s="8">
        <f t="shared" si="4"/>
        <v>8.99</v>
      </c>
      <c r="F28">
        <f t="shared" si="5"/>
        <v>1</v>
      </c>
      <c r="G28" s="6">
        <f t="shared" si="6"/>
        <v>0.42705515321002863</v>
      </c>
      <c r="H28" s="6">
        <f t="shared" si="7"/>
        <v>3.3333333333333333E-2</v>
      </c>
      <c r="I28" s="6">
        <f t="shared" si="8"/>
        <v>1.4235171773667621E-2</v>
      </c>
      <c r="J28" s="6">
        <f t="shared" si="10"/>
        <v>0.99999999999999989</v>
      </c>
      <c r="K28" s="6">
        <f t="shared" si="11"/>
        <v>0.96185689662601948</v>
      </c>
      <c r="L28" s="6">
        <f t="shared" si="9"/>
        <v>3.8143103373980414E-2</v>
      </c>
      <c r="M28" s="6">
        <f t="shared" si="12"/>
        <v>3.8143103373980414E-2</v>
      </c>
    </row>
    <row r="29" spans="2:17" x14ac:dyDescent="0.25">
      <c r="B29" s="1">
        <v>1.69</v>
      </c>
      <c r="D29">
        <f t="shared" si="4"/>
        <v>9</v>
      </c>
      <c r="E29" s="8">
        <f t="shared" si="4"/>
        <v>9.99</v>
      </c>
      <c r="F29">
        <f t="shared" si="5"/>
        <v>0</v>
      </c>
      <c r="G29" s="6">
        <f t="shared" si="6"/>
        <v>0.28945790385113468</v>
      </c>
      <c r="H29" s="6">
        <f t="shared" si="7"/>
        <v>0</v>
      </c>
      <c r="I29" s="6">
        <f t="shared" si="8"/>
        <v>9.6485967950378226E-3</v>
      </c>
      <c r="J29" s="6">
        <f t="shared" si="10"/>
        <v>0.99999999999999989</v>
      </c>
      <c r="K29" s="6">
        <f t="shared" si="11"/>
        <v>0.9715054934210573</v>
      </c>
      <c r="L29" s="6">
        <f t="shared" si="9"/>
        <v>2.8494506578942591E-2</v>
      </c>
      <c r="M29" s="9">
        <f t="shared" si="12"/>
        <v>3.8143103373980414E-2</v>
      </c>
      <c r="N29" t="s">
        <v>19</v>
      </c>
    </row>
    <row r="30" spans="2:17" x14ac:dyDescent="0.25">
      <c r="B30" s="1">
        <v>0.69</v>
      </c>
      <c r="M30" s="9">
        <v>0.2417</v>
      </c>
      <c r="N30" t="s">
        <v>20</v>
      </c>
    </row>
    <row r="31" spans="2:17" x14ac:dyDescent="0.25">
      <c r="B31" s="1">
        <v>0.55000000000000004</v>
      </c>
    </row>
    <row r="32" spans="2:17" x14ac:dyDescent="0.25">
      <c r="B32" s="1">
        <v>0.43</v>
      </c>
    </row>
    <row r="33" spans="1:5" x14ac:dyDescent="0.25">
      <c r="B33" s="1">
        <v>0.26</v>
      </c>
    </row>
    <row r="35" spans="1:5" x14ac:dyDescent="0.25">
      <c r="A35" s="4" t="s">
        <v>8</v>
      </c>
      <c r="B35" s="4">
        <f>COUNT(B4:B33)</f>
        <v>30</v>
      </c>
    </row>
    <row r="36" spans="1:5" x14ac:dyDescent="0.25">
      <c r="A36" s="4" t="s">
        <v>9</v>
      </c>
      <c r="B36" s="12">
        <f>MIN(B4:B33)</f>
        <v>0.1</v>
      </c>
    </row>
    <row r="37" spans="1:5" x14ac:dyDescent="0.25">
      <c r="A37" s="4" t="s">
        <v>10</v>
      </c>
      <c r="B37" s="12">
        <f>MAX(B4:B33)</f>
        <v>8.25</v>
      </c>
    </row>
    <row r="39" spans="1:5" x14ac:dyDescent="0.25">
      <c r="A39" s="4" t="s">
        <v>11</v>
      </c>
      <c r="B39" s="1">
        <f>B37-B36</f>
        <v>8.15</v>
      </c>
      <c r="D39" s="4" t="s">
        <v>1</v>
      </c>
      <c r="E39" s="4" t="s">
        <v>2</v>
      </c>
    </row>
    <row r="40" spans="1:5" x14ac:dyDescent="0.25">
      <c r="A40" s="4" t="s">
        <v>41</v>
      </c>
      <c r="B40">
        <v>5</v>
      </c>
      <c r="D40" s="1">
        <v>0.1</v>
      </c>
      <c r="E40" s="1">
        <f>D40+$B$41-0.001</f>
        <v>1.7390000000000001</v>
      </c>
    </row>
    <row r="41" spans="1:5" x14ac:dyDescent="0.25">
      <c r="A41" s="4" t="s">
        <v>40</v>
      </c>
      <c r="B41">
        <v>1.64</v>
      </c>
      <c r="D41" s="1">
        <f>E40</f>
        <v>1.7390000000000001</v>
      </c>
      <c r="E41" s="1">
        <f>D41+$B$41-0.001</f>
        <v>3.3780000000000001</v>
      </c>
    </row>
    <row r="42" spans="1:5" x14ac:dyDescent="0.25">
      <c r="D42" s="1">
        <f>E41</f>
        <v>3.3780000000000001</v>
      </c>
      <c r="E42" s="1">
        <f>D42+$B$41-0.001</f>
        <v>5.0169999999999995</v>
      </c>
    </row>
    <row r="43" spans="1:5" x14ac:dyDescent="0.25">
      <c r="A43" s="4" t="s">
        <v>27</v>
      </c>
      <c r="B43">
        <f>SUM(B4:B33)/N</f>
        <v>2.5713333333333339</v>
      </c>
      <c r="D43" s="1">
        <f>E42</f>
        <v>5.0169999999999995</v>
      </c>
      <c r="E43" s="1">
        <f>D43+$B$41-0.001</f>
        <v>6.6559999999999988</v>
      </c>
    </row>
    <row r="44" spans="1:5" x14ac:dyDescent="0.25">
      <c r="A44" s="4" t="s">
        <v>32</v>
      </c>
      <c r="B44">
        <f>1/B43</f>
        <v>0.38890329271454488</v>
      </c>
      <c r="D44" s="1">
        <f>E43</f>
        <v>6.6559999999999988</v>
      </c>
      <c r="E44" s="1">
        <f>D44+$B$41-0.001</f>
        <v>8.2949999999999999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0"/>
  <sheetViews>
    <sheetView zoomScale="115" zoomScaleNormal="115" workbookViewId="0">
      <selection activeCell="M38" sqref="M38"/>
    </sheetView>
  </sheetViews>
  <sheetFormatPr baseColWidth="10" defaultRowHeight="15" x14ac:dyDescent="0.25"/>
  <cols>
    <col min="13" max="13" width="15.7109375" customWidth="1"/>
  </cols>
  <sheetData>
    <row r="2" spans="2:21" x14ac:dyDescent="0.25">
      <c r="B2" s="2" t="s">
        <v>0</v>
      </c>
      <c r="E2" s="3" t="s">
        <v>1</v>
      </c>
      <c r="F2" s="3" t="s">
        <v>2</v>
      </c>
      <c r="G2" s="3" t="s">
        <v>29</v>
      </c>
      <c r="H2" s="3" t="s">
        <v>4</v>
      </c>
      <c r="I2" s="3" t="s">
        <v>30</v>
      </c>
      <c r="J2" s="3" t="s">
        <v>7</v>
      </c>
      <c r="O2" s="3" t="s">
        <v>1</v>
      </c>
      <c r="P2" s="3" t="s">
        <v>2</v>
      </c>
      <c r="Q2" s="3" t="s">
        <v>4</v>
      </c>
      <c r="R2" s="3" t="s">
        <v>7</v>
      </c>
      <c r="S2" s="3" t="s">
        <v>17</v>
      </c>
      <c r="T2" s="3" t="s">
        <v>31</v>
      </c>
    </row>
    <row r="3" spans="2:21" x14ac:dyDescent="0.25">
      <c r="L3" s="6"/>
    </row>
    <row r="4" spans="2:21" x14ac:dyDescent="0.25">
      <c r="B4" s="1">
        <v>1.56</v>
      </c>
      <c r="C4">
        <f t="shared" ref="C4:C33" si="0">(B4-Media)^2</f>
        <v>10.764960999999994</v>
      </c>
      <c r="E4">
        <v>0</v>
      </c>
      <c r="F4" s="8">
        <v>0.99</v>
      </c>
      <c r="G4" s="13">
        <f t="shared" ref="G4:G13" si="1">(F4+E4)/2</f>
        <v>0.495</v>
      </c>
      <c r="H4">
        <f t="array" ref="H4:H13">FREQUENCY(B4:B33,F4:F13)</f>
        <v>0</v>
      </c>
      <c r="I4" s="6">
        <f t="shared" ref="I4:I13" si="2">((EXP(-0.5*((G4-Media)/DesvStd)^2))/(DesvStd*SQRT(2*PI())))*(F4-E4)</f>
        <v>5.165544095302177E-3</v>
      </c>
      <c r="J4" s="6">
        <f t="shared" ref="J4:J13" si="3">I4*N</f>
        <v>0.15496632285906531</v>
      </c>
      <c r="O4">
        <f>E4</f>
        <v>0</v>
      </c>
      <c r="P4" s="8">
        <f>F7</f>
        <v>3.99</v>
      </c>
      <c r="Q4" s="8">
        <f>SUM(H4:H7)</f>
        <v>8</v>
      </c>
      <c r="R4" s="6">
        <f>SUM(J4:J7)</f>
        <v>8.5948811221826009</v>
      </c>
      <c r="S4" s="6">
        <f>((R4-Q4)^2)/R4</f>
        <v>4.1173757321190815E-2</v>
      </c>
      <c r="T4" s="6">
        <f>S4</f>
        <v>4.1173757321190815E-2</v>
      </c>
    </row>
    <row r="5" spans="2:21" x14ac:dyDescent="0.25">
      <c r="B5" s="1">
        <v>2.21</v>
      </c>
      <c r="C5">
        <f t="shared" si="0"/>
        <v>6.9221609999999965</v>
      </c>
      <c r="E5">
        <v>1</v>
      </c>
      <c r="F5" s="8">
        <v>1.99</v>
      </c>
      <c r="G5" s="13">
        <f t="shared" si="1"/>
        <v>1.4950000000000001</v>
      </c>
      <c r="H5">
        <v>1</v>
      </c>
      <c r="I5" s="6">
        <f t="shared" si="2"/>
        <v>2.52225947105875E-2</v>
      </c>
      <c r="J5" s="6">
        <f t="shared" si="3"/>
        <v>0.75667784131762494</v>
      </c>
      <c r="O5">
        <f>E8</f>
        <v>4</v>
      </c>
      <c r="P5" s="8">
        <f>F8</f>
        <v>4.99</v>
      </c>
      <c r="Q5" s="8">
        <f>H8</f>
        <v>8</v>
      </c>
      <c r="R5" s="6">
        <f>J8</f>
        <v>7.4226358070185769</v>
      </c>
      <c r="S5" s="6">
        <f>((R5-Q5)^2)/R5</f>
        <v>4.4909843349971001E-2</v>
      </c>
      <c r="T5" s="6">
        <f>S5+T4</f>
        <v>8.6083600671161817E-2</v>
      </c>
    </row>
    <row r="6" spans="2:21" x14ac:dyDescent="0.25">
      <c r="B6" s="1">
        <v>3.15</v>
      </c>
      <c r="C6">
        <f t="shared" si="0"/>
        <v>2.8594809999999979</v>
      </c>
      <c r="E6">
        <v>2</v>
      </c>
      <c r="F6" s="8">
        <v>2.99</v>
      </c>
      <c r="G6" s="13">
        <f t="shared" si="1"/>
        <v>2.4950000000000001</v>
      </c>
      <c r="H6">
        <v>3</v>
      </c>
      <c r="I6" s="6">
        <f t="shared" si="2"/>
        <v>8.1545711862174686E-2</v>
      </c>
      <c r="J6" s="6">
        <f t="shared" si="3"/>
        <v>2.4463713558652405</v>
      </c>
      <c r="O6">
        <f>E9</f>
        <v>5</v>
      </c>
      <c r="P6" s="8">
        <f>F9</f>
        <v>5.99</v>
      </c>
      <c r="Q6" s="8">
        <f>H9</f>
        <v>7</v>
      </c>
      <c r="R6" s="6">
        <f>J9</f>
        <v>6.9659853189930834</v>
      </c>
      <c r="S6" s="6">
        <f>((R6-Q6)^2)/R6</f>
        <v>1.6609258719619811E-4</v>
      </c>
      <c r="T6" s="6">
        <f>S6+T5</f>
        <v>8.6249693258358018E-2</v>
      </c>
    </row>
    <row r="7" spans="2:21" x14ac:dyDescent="0.25">
      <c r="B7" s="1">
        <v>4.6100000000000003</v>
      </c>
      <c r="C7">
        <f t="shared" si="0"/>
        <v>5.3360999999999534E-2</v>
      </c>
      <c r="E7">
        <v>3</v>
      </c>
      <c r="F7" s="8">
        <v>3.99</v>
      </c>
      <c r="G7" s="13">
        <f t="shared" si="1"/>
        <v>3.4950000000000001</v>
      </c>
      <c r="H7">
        <v>4</v>
      </c>
      <c r="I7" s="6">
        <f t="shared" si="2"/>
        <v>0.17456218673802232</v>
      </c>
      <c r="J7" s="6">
        <f t="shared" si="3"/>
        <v>5.2368656021406697</v>
      </c>
      <c r="O7">
        <f>E10</f>
        <v>6</v>
      </c>
      <c r="P7" s="8">
        <f>F13</f>
        <v>9.99</v>
      </c>
      <c r="Q7" s="8">
        <f>SUM(H10:H13)</f>
        <v>7</v>
      </c>
      <c r="R7" s="6">
        <f>SUM(J10:J13)</f>
        <v>6.6821581661676959</v>
      </c>
      <c r="S7" s="6">
        <f>((R7-Q7)^2)/R7</f>
        <v>1.5118383734969308E-2</v>
      </c>
      <c r="T7" s="9">
        <f>S7+T6</f>
        <v>0.10136807699332732</v>
      </c>
      <c r="U7" t="s">
        <v>19</v>
      </c>
    </row>
    <row r="8" spans="2:21" x14ac:dyDescent="0.25">
      <c r="B8" s="1">
        <v>4.18</v>
      </c>
      <c r="C8">
        <f t="shared" si="0"/>
        <v>0.43692099999999945</v>
      </c>
      <c r="E8">
        <v>4</v>
      </c>
      <c r="F8" s="8">
        <v>4.99</v>
      </c>
      <c r="G8" s="13">
        <f t="shared" si="1"/>
        <v>4.4950000000000001</v>
      </c>
      <c r="H8">
        <v>8</v>
      </c>
      <c r="I8" s="6">
        <f t="shared" si="2"/>
        <v>0.2474211935672859</v>
      </c>
      <c r="J8" s="6">
        <f t="shared" si="3"/>
        <v>7.4226358070185769</v>
      </c>
      <c r="T8" s="9">
        <v>3.84</v>
      </c>
      <c r="U8" t="s">
        <v>20</v>
      </c>
    </row>
    <row r="9" spans="2:21" x14ac:dyDescent="0.25">
      <c r="B9" s="1">
        <v>5.2</v>
      </c>
      <c r="C9">
        <f t="shared" si="0"/>
        <v>0.12888100000000063</v>
      </c>
      <c r="E9">
        <v>5</v>
      </c>
      <c r="F9" s="8">
        <v>5.99</v>
      </c>
      <c r="G9" s="13">
        <f t="shared" si="1"/>
        <v>5.4950000000000001</v>
      </c>
      <c r="H9">
        <v>7</v>
      </c>
      <c r="I9" s="6">
        <f t="shared" si="2"/>
        <v>0.23219951063310279</v>
      </c>
      <c r="J9" s="6">
        <f t="shared" si="3"/>
        <v>6.9659853189930834</v>
      </c>
    </row>
    <row r="10" spans="2:21" x14ac:dyDescent="0.25">
      <c r="B10" s="1">
        <v>6.94</v>
      </c>
      <c r="C10">
        <f t="shared" si="0"/>
        <v>4.4058010000000047</v>
      </c>
      <c r="E10">
        <v>6</v>
      </c>
      <c r="F10" s="8">
        <v>6.99</v>
      </c>
      <c r="G10" s="13">
        <f t="shared" si="1"/>
        <v>6.4950000000000001</v>
      </c>
      <c r="H10">
        <v>5</v>
      </c>
      <c r="I10" s="6">
        <f t="shared" si="2"/>
        <v>0.14428573003517456</v>
      </c>
      <c r="J10" s="6">
        <f t="shared" si="3"/>
        <v>4.3285719010552368</v>
      </c>
    </row>
    <row r="11" spans="2:21" x14ac:dyDescent="0.25">
      <c r="B11" s="1">
        <v>7.71</v>
      </c>
      <c r="C11">
        <f t="shared" si="0"/>
        <v>8.2311610000000037</v>
      </c>
      <c r="E11">
        <v>7</v>
      </c>
      <c r="F11" s="8">
        <v>7.99</v>
      </c>
      <c r="G11" s="13">
        <f t="shared" si="1"/>
        <v>7.4950000000000001</v>
      </c>
      <c r="H11">
        <v>2</v>
      </c>
      <c r="I11" s="6">
        <f t="shared" si="2"/>
        <v>5.936399786478716E-2</v>
      </c>
      <c r="J11" s="6">
        <f t="shared" si="3"/>
        <v>1.7809199359436148</v>
      </c>
    </row>
    <row r="12" spans="2:21" x14ac:dyDescent="0.25">
      <c r="B12" s="1">
        <v>5.15</v>
      </c>
      <c r="C12">
        <f t="shared" si="0"/>
        <v>9.5481000000000649E-2</v>
      </c>
      <c r="E12">
        <v>8</v>
      </c>
      <c r="F12" s="8">
        <v>8.99</v>
      </c>
      <c r="G12" s="13">
        <f t="shared" si="1"/>
        <v>8.495000000000001</v>
      </c>
      <c r="H12">
        <v>0</v>
      </c>
      <c r="I12" s="6">
        <f t="shared" si="2"/>
        <v>1.6171882565056576E-2</v>
      </c>
      <c r="J12" s="6">
        <f t="shared" si="3"/>
        <v>0.48515647695169728</v>
      </c>
    </row>
    <row r="13" spans="2:21" x14ac:dyDescent="0.25">
      <c r="B13" s="1">
        <v>6.76</v>
      </c>
      <c r="C13">
        <f t="shared" si="0"/>
        <v>3.682561000000002</v>
      </c>
      <c r="E13">
        <v>9</v>
      </c>
      <c r="F13" s="8">
        <v>9.99</v>
      </c>
      <c r="G13" s="13">
        <f t="shared" si="1"/>
        <v>9.495000000000001</v>
      </c>
      <c r="H13">
        <v>0</v>
      </c>
      <c r="I13" s="6">
        <f t="shared" si="2"/>
        <v>2.9169950739048722E-3</v>
      </c>
      <c r="J13" s="6">
        <f t="shared" si="3"/>
        <v>8.7509852217146161E-2</v>
      </c>
    </row>
    <row r="14" spans="2:21" x14ac:dyDescent="0.25">
      <c r="B14" s="1">
        <v>7.28</v>
      </c>
      <c r="C14">
        <f t="shared" si="0"/>
        <v>5.9487210000000044</v>
      </c>
      <c r="I14" s="7">
        <f>SUM(I4:I13)</f>
        <v>0.98885534714539847</v>
      </c>
      <c r="J14" s="7"/>
    </row>
    <row r="15" spans="2:21" x14ac:dyDescent="0.25">
      <c r="B15" s="1">
        <v>4.2300000000000004</v>
      </c>
      <c r="C15">
        <f t="shared" si="0"/>
        <v>0.37332099999999863</v>
      </c>
    </row>
    <row r="16" spans="2:21" x14ac:dyDescent="0.25">
      <c r="B16" s="1">
        <v>3.21</v>
      </c>
      <c r="C16">
        <f t="shared" si="0"/>
        <v>2.6601609999999978</v>
      </c>
    </row>
    <row r="17" spans="2:15" x14ac:dyDescent="0.25">
      <c r="B17" s="1">
        <v>2.75</v>
      </c>
      <c r="C17">
        <f t="shared" si="0"/>
        <v>4.3722809999999974</v>
      </c>
      <c r="E17" s="3" t="s">
        <v>1</v>
      </c>
      <c r="F17" s="3" t="s">
        <v>2</v>
      </c>
      <c r="G17" s="3" t="s">
        <v>4</v>
      </c>
      <c r="H17" s="3" t="s">
        <v>7</v>
      </c>
      <c r="I17" s="3" t="s">
        <v>21</v>
      </c>
      <c r="J17" s="3" t="s">
        <v>22</v>
      </c>
      <c r="K17" s="3" t="s">
        <v>23</v>
      </c>
      <c r="L17" s="3" t="s">
        <v>24</v>
      </c>
      <c r="M17" s="3" t="s">
        <v>25</v>
      </c>
      <c r="N17" s="3" t="s">
        <v>26</v>
      </c>
    </row>
    <row r="18" spans="2:15" x14ac:dyDescent="0.25">
      <c r="B18" s="1">
        <v>4.6900000000000004</v>
      </c>
      <c r="C18">
        <f t="shared" si="0"/>
        <v>2.2800999999999672E-2</v>
      </c>
    </row>
    <row r="19" spans="2:15" x14ac:dyDescent="0.25">
      <c r="B19" s="1">
        <v>5.86</v>
      </c>
      <c r="C19">
        <f t="shared" si="0"/>
        <v>1.0383610000000021</v>
      </c>
      <c r="E19">
        <f t="shared" ref="E19:F28" si="4">E4</f>
        <v>0</v>
      </c>
      <c r="F19" s="8">
        <f t="shared" si="4"/>
        <v>0.99</v>
      </c>
      <c r="G19">
        <f t="shared" ref="G19:G28" si="5">H4</f>
        <v>0</v>
      </c>
      <c r="H19" s="6">
        <f t="shared" ref="H19:H28" si="6">J4</f>
        <v>0.15496632285906531</v>
      </c>
      <c r="I19" s="6">
        <f t="shared" ref="I19:I28" si="7">G19/N</f>
        <v>0</v>
      </c>
      <c r="J19" s="6">
        <f t="shared" ref="J19:J28" si="8">I4</f>
        <v>5.165544095302177E-3</v>
      </c>
      <c r="K19" s="6">
        <f>I19</f>
        <v>0</v>
      </c>
      <c r="L19" s="6">
        <f>J19</f>
        <v>5.165544095302177E-3</v>
      </c>
      <c r="M19" s="6">
        <f t="shared" ref="M19:M28" si="9">ABS(K19-L19)</f>
        <v>5.165544095302177E-3</v>
      </c>
      <c r="N19" s="6">
        <f>M19</f>
        <v>5.165544095302177E-3</v>
      </c>
    </row>
    <row r="20" spans="2:15" x14ac:dyDescent="0.25">
      <c r="B20" s="1">
        <v>6.25</v>
      </c>
      <c r="C20">
        <f t="shared" si="0"/>
        <v>1.9852810000000021</v>
      </c>
      <c r="E20">
        <f t="shared" si="4"/>
        <v>1</v>
      </c>
      <c r="F20" s="8">
        <f t="shared" si="4"/>
        <v>1.99</v>
      </c>
      <c r="G20">
        <f t="shared" si="5"/>
        <v>1</v>
      </c>
      <c r="H20" s="6">
        <f t="shared" si="6"/>
        <v>0.75667784131762494</v>
      </c>
      <c r="I20" s="6">
        <f t="shared" si="7"/>
        <v>3.3333333333333333E-2</v>
      </c>
      <c r="J20" s="6">
        <f t="shared" si="8"/>
        <v>2.52225947105875E-2</v>
      </c>
      <c r="K20" s="6">
        <f t="shared" ref="K20:K28" si="10">I20+K19</f>
        <v>3.3333333333333333E-2</v>
      </c>
      <c r="L20" s="6">
        <f t="shared" ref="L20:L28" si="11">J20+L19</f>
        <v>3.0388138805889676E-2</v>
      </c>
      <c r="M20" s="6">
        <f t="shared" si="9"/>
        <v>2.9451945274436564E-3</v>
      </c>
      <c r="N20" s="6">
        <f t="shared" ref="N20:N28" si="12">MAX(M20,N19)</f>
        <v>5.165544095302177E-3</v>
      </c>
    </row>
    <row r="21" spans="2:15" x14ac:dyDescent="0.25">
      <c r="B21" s="1">
        <v>4.2699999999999996</v>
      </c>
      <c r="C21">
        <f t="shared" si="0"/>
        <v>0.32604099999999969</v>
      </c>
      <c r="E21">
        <f t="shared" si="4"/>
        <v>2</v>
      </c>
      <c r="F21" s="8">
        <f t="shared" si="4"/>
        <v>2.99</v>
      </c>
      <c r="G21">
        <f t="shared" si="5"/>
        <v>3</v>
      </c>
      <c r="H21" s="6">
        <f t="shared" si="6"/>
        <v>2.4463713558652405</v>
      </c>
      <c r="I21" s="6">
        <f t="shared" si="7"/>
        <v>0.1</v>
      </c>
      <c r="J21" s="6">
        <f t="shared" si="8"/>
        <v>8.1545711862174686E-2</v>
      </c>
      <c r="K21" s="6">
        <f t="shared" si="10"/>
        <v>0.13333333333333333</v>
      </c>
      <c r="L21" s="6">
        <f t="shared" si="11"/>
        <v>0.11193385066806436</v>
      </c>
      <c r="M21" s="6">
        <f t="shared" si="9"/>
        <v>2.1399482665268976E-2</v>
      </c>
      <c r="N21" s="6">
        <f t="shared" si="12"/>
        <v>2.1399482665268976E-2</v>
      </c>
    </row>
    <row r="22" spans="2:15" x14ac:dyDescent="0.25">
      <c r="B22" s="1">
        <v>4.91</v>
      </c>
      <c r="C22">
        <f t="shared" si="0"/>
        <v>4.7610000000001158E-3</v>
      </c>
      <c r="E22">
        <f t="shared" si="4"/>
        <v>3</v>
      </c>
      <c r="F22" s="8">
        <f t="shared" si="4"/>
        <v>3.99</v>
      </c>
      <c r="G22">
        <f t="shared" si="5"/>
        <v>4</v>
      </c>
      <c r="H22" s="6">
        <f t="shared" si="6"/>
        <v>5.2368656021406697</v>
      </c>
      <c r="I22" s="6">
        <f t="shared" si="7"/>
        <v>0.13333333333333333</v>
      </c>
      <c r="J22" s="6">
        <f t="shared" si="8"/>
        <v>0.17456218673802232</v>
      </c>
      <c r="K22" s="6">
        <f t="shared" si="10"/>
        <v>0.26666666666666666</v>
      </c>
      <c r="L22" s="6">
        <f t="shared" si="11"/>
        <v>0.28649603740608665</v>
      </c>
      <c r="M22" s="6">
        <f t="shared" si="9"/>
        <v>1.9829370739419983E-2</v>
      </c>
      <c r="N22" s="6">
        <f t="shared" si="12"/>
        <v>2.1399482665268976E-2</v>
      </c>
    </row>
    <row r="23" spans="2:15" x14ac:dyDescent="0.25">
      <c r="B23" s="1">
        <v>4.78</v>
      </c>
      <c r="C23">
        <f t="shared" si="0"/>
        <v>3.7209999999998846E-3</v>
      </c>
      <c r="E23">
        <f t="shared" si="4"/>
        <v>4</v>
      </c>
      <c r="F23" s="8">
        <f t="shared" si="4"/>
        <v>4.99</v>
      </c>
      <c r="G23">
        <f t="shared" si="5"/>
        <v>8</v>
      </c>
      <c r="H23" s="6">
        <f t="shared" si="6"/>
        <v>7.4226358070185769</v>
      </c>
      <c r="I23" s="6">
        <f t="shared" si="7"/>
        <v>0.26666666666666666</v>
      </c>
      <c r="J23" s="6">
        <f t="shared" si="8"/>
        <v>0.2474211935672859</v>
      </c>
      <c r="K23" s="6">
        <f t="shared" si="10"/>
        <v>0.53333333333333333</v>
      </c>
      <c r="L23" s="6">
        <f t="shared" si="11"/>
        <v>0.53391723097337251</v>
      </c>
      <c r="M23" s="6">
        <f t="shared" si="9"/>
        <v>5.838976400391882E-4</v>
      </c>
      <c r="N23" s="6">
        <f t="shared" si="12"/>
        <v>2.1399482665268976E-2</v>
      </c>
    </row>
    <row r="24" spans="2:15" x14ac:dyDescent="0.25">
      <c r="B24" s="1">
        <v>2.46</v>
      </c>
      <c r="C24">
        <f t="shared" si="0"/>
        <v>5.6691609999999972</v>
      </c>
      <c r="E24">
        <f t="shared" si="4"/>
        <v>5</v>
      </c>
      <c r="F24" s="8">
        <f t="shared" si="4"/>
        <v>5.99</v>
      </c>
      <c r="G24">
        <f t="shared" si="5"/>
        <v>7</v>
      </c>
      <c r="H24" s="6">
        <f t="shared" si="6"/>
        <v>6.9659853189930834</v>
      </c>
      <c r="I24" s="6">
        <f t="shared" si="7"/>
        <v>0.23333333333333334</v>
      </c>
      <c r="J24" s="6">
        <f t="shared" si="8"/>
        <v>0.23219951063310279</v>
      </c>
      <c r="K24" s="6">
        <f t="shared" si="10"/>
        <v>0.76666666666666661</v>
      </c>
      <c r="L24" s="6">
        <f t="shared" si="11"/>
        <v>0.76611674160647536</v>
      </c>
      <c r="M24" s="6">
        <f t="shared" si="9"/>
        <v>5.4992506019124754E-4</v>
      </c>
      <c r="N24" s="6">
        <f t="shared" si="12"/>
        <v>2.1399482665268976E-2</v>
      </c>
    </row>
    <row r="25" spans="2:15" x14ac:dyDescent="0.25">
      <c r="B25" s="1">
        <v>3.97</v>
      </c>
      <c r="C25">
        <f t="shared" si="0"/>
        <v>0.75864099999999846</v>
      </c>
      <c r="E25">
        <f t="shared" si="4"/>
        <v>6</v>
      </c>
      <c r="F25" s="8">
        <f t="shared" si="4"/>
        <v>6.99</v>
      </c>
      <c r="G25">
        <f t="shared" si="5"/>
        <v>5</v>
      </c>
      <c r="H25" s="6">
        <f t="shared" si="6"/>
        <v>4.3285719010552368</v>
      </c>
      <c r="I25" s="6">
        <f t="shared" si="7"/>
        <v>0.16666666666666666</v>
      </c>
      <c r="J25" s="6">
        <f t="shared" si="8"/>
        <v>0.14428573003517456</v>
      </c>
      <c r="K25" s="6">
        <f t="shared" si="10"/>
        <v>0.93333333333333324</v>
      </c>
      <c r="L25" s="6">
        <f t="shared" si="11"/>
        <v>0.91040247164164989</v>
      </c>
      <c r="M25" s="6">
        <f t="shared" si="9"/>
        <v>2.2930861691683346E-2</v>
      </c>
      <c r="N25" s="6">
        <f t="shared" si="12"/>
        <v>2.2930861691683346E-2</v>
      </c>
    </row>
    <row r="26" spans="2:15" x14ac:dyDescent="0.25">
      <c r="B26" s="1">
        <v>5.71</v>
      </c>
      <c r="C26">
        <f t="shared" si="0"/>
        <v>0.75516100000000119</v>
      </c>
      <c r="E26">
        <f t="shared" si="4"/>
        <v>7</v>
      </c>
      <c r="F26" s="8">
        <f t="shared" si="4"/>
        <v>7.99</v>
      </c>
      <c r="G26">
        <f t="shared" si="5"/>
        <v>2</v>
      </c>
      <c r="H26" s="6">
        <f t="shared" si="6"/>
        <v>1.7809199359436148</v>
      </c>
      <c r="I26" s="6">
        <f t="shared" si="7"/>
        <v>6.6666666666666666E-2</v>
      </c>
      <c r="J26" s="6">
        <f t="shared" si="8"/>
        <v>5.936399786478716E-2</v>
      </c>
      <c r="K26" s="6">
        <f t="shared" si="10"/>
        <v>0.99999999999999989</v>
      </c>
      <c r="L26" s="6">
        <f t="shared" si="11"/>
        <v>0.96976646950643708</v>
      </c>
      <c r="M26" s="6">
        <f t="shared" si="9"/>
        <v>3.023353049356281E-2</v>
      </c>
      <c r="N26" s="6">
        <f t="shared" si="12"/>
        <v>3.023353049356281E-2</v>
      </c>
    </row>
    <row r="27" spans="2:15" x14ac:dyDescent="0.25">
      <c r="B27" s="1">
        <v>6.19</v>
      </c>
      <c r="C27">
        <f t="shared" si="0"/>
        <v>1.8198010000000029</v>
      </c>
      <c r="E27">
        <f t="shared" si="4"/>
        <v>8</v>
      </c>
      <c r="F27" s="8">
        <f t="shared" si="4"/>
        <v>8.99</v>
      </c>
      <c r="G27">
        <f t="shared" si="5"/>
        <v>0</v>
      </c>
      <c r="H27" s="6">
        <f t="shared" si="6"/>
        <v>0.48515647695169728</v>
      </c>
      <c r="I27" s="6">
        <f t="shared" si="7"/>
        <v>0</v>
      </c>
      <c r="J27" s="6">
        <f t="shared" si="8"/>
        <v>1.6171882565056576E-2</v>
      </c>
      <c r="K27" s="6">
        <f t="shared" si="10"/>
        <v>0.99999999999999989</v>
      </c>
      <c r="L27" s="6">
        <f t="shared" si="11"/>
        <v>0.98593835207149361</v>
      </c>
      <c r="M27" s="6">
        <f t="shared" si="9"/>
        <v>1.4061647928506282E-2</v>
      </c>
      <c r="N27" s="6">
        <f t="shared" si="12"/>
        <v>3.023353049356281E-2</v>
      </c>
    </row>
    <row r="28" spans="2:15" x14ac:dyDescent="0.25">
      <c r="B28" s="1">
        <v>4.2</v>
      </c>
      <c r="C28">
        <f t="shared" si="0"/>
        <v>0.41088099999999889</v>
      </c>
      <c r="E28">
        <f t="shared" si="4"/>
        <v>9</v>
      </c>
      <c r="F28" s="8">
        <f t="shared" si="4"/>
        <v>9.99</v>
      </c>
      <c r="G28">
        <f t="shared" si="5"/>
        <v>0</v>
      </c>
      <c r="H28" s="6">
        <f t="shared" si="6"/>
        <v>8.7509852217146161E-2</v>
      </c>
      <c r="I28" s="6">
        <f t="shared" si="7"/>
        <v>0</v>
      </c>
      <c r="J28" s="6">
        <f t="shared" si="8"/>
        <v>2.9169950739048722E-3</v>
      </c>
      <c r="K28" s="6">
        <f t="shared" si="10"/>
        <v>0.99999999999999989</v>
      </c>
      <c r="L28" s="6">
        <f t="shared" si="11"/>
        <v>0.98885534714539847</v>
      </c>
      <c r="M28" s="6">
        <f t="shared" si="9"/>
        <v>1.1144652854601422E-2</v>
      </c>
      <c r="N28" s="9">
        <f t="shared" si="12"/>
        <v>3.023353049356281E-2</v>
      </c>
      <c r="O28" t="s">
        <v>19</v>
      </c>
    </row>
    <row r="29" spans="2:15" x14ac:dyDescent="0.25">
      <c r="B29" s="1">
        <v>3.48</v>
      </c>
      <c r="C29">
        <f t="shared" si="0"/>
        <v>1.8523209999999981</v>
      </c>
      <c r="I29" s="7">
        <f>SUM(I19:I28)</f>
        <v>0.99999999999999989</v>
      </c>
      <c r="J29" s="7">
        <f>SUM(J19:J28)</f>
        <v>0.98885534714539847</v>
      </c>
      <c r="N29" s="9">
        <v>0.2417</v>
      </c>
      <c r="O29" t="s">
        <v>20</v>
      </c>
    </row>
    <row r="30" spans="2:15" x14ac:dyDescent="0.25">
      <c r="B30" s="1">
        <v>5.83</v>
      </c>
      <c r="C30">
        <f t="shared" si="0"/>
        <v>0.97812100000000157</v>
      </c>
    </row>
    <row r="31" spans="2:15" x14ac:dyDescent="0.25">
      <c r="B31" s="1">
        <v>6.36</v>
      </c>
      <c r="C31">
        <f t="shared" si="0"/>
        <v>2.3073610000000029</v>
      </c>
    </row>
    <row r="32" spans="2:15" x14ac:dyDescent="0.25">
      <c r="B32" s="1">
        <v>5.9</v>
      </c>
      <c r="C32">
        <f t="shared" si="0"/>
        <v>1.1214810000000022</v>
      </c>
    </row>
    <row r="33" spans="1:3" x14ac:dyDescent="0.25">
      <c r="B33" s="1">
        <v>5.43</v>
      </c>
      <c r="C33">
        <f t="shared" si="0"/>
        <v>0.34692100000000048</v>
      </c>
    </row>
    <row r="34" spans="1:3" x14ac:dyDescent="0.25">
      <c r="C34">
        <f>SUM(C4:C33)/(N-1)</f>
        <v>2.4253817241379303</v>
      </c>
    </row>
    <row r="35" spans="1:3" x14ac:dyDescent="0.25">
      <c r="A35" s="4" t="s">
        <v>8</v>
      </c>
      <c r="B35" s="4">
        <f>COUNT(B4:B33)</f>
        <v>30</v>
      </c>
    </row>
    <row r="36" spans="1:3" x14ac:dyDescent="0.25">
      <c r="A36" s="4" t="s">
        <v>9</v>
      </c>
      <c r="B36" s="12">
        <f>MIN(B4:B33)</f>
        <v>1.56</v>
      </c>
    </row>
    <row r="37" spans="1:3" x14ac:dyDescent="0.25">
      <c r="A37" s="4" t="s">
        <v>10</v>
      </c>
      <c r="B37" s="12">
        <f>MAX(B4:B33)</f>
        <v>7.71</v>
      </c>
    </row>
    <row r="39" spans="1:3" x14ac:dyDescent="0.25">
      <c r="A39" s="4" t="s">
        <v>27</v>
      </c>
      <c r="B39" s="6">
        <f>SUM(B4:B33)/N</f>
        <v>4.8409999999999993</v>
      </c>
    </row>
    <row r="40" spans="1:3" x14ac:dyDescent="0.25">
      <c r="A40" s="4" t="s">
        <v>28</v>
      </c>
      <c r="B40" s="6">
        <f>SQRT(C34)</f>
        <v>1.557363709651002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9"/>
  <sheetViews>
    <sheetView zoomScale="115" zoomScaleNormal="115" workbookViewId="0">
      <selection activeCell="E4" sqref="E4"/>
    </sheetView>
  </sheetViews>
  <sheetFormatPr baseColWidth="10" defaultRowHeight="15" x14ac:dyDescent="0.25"/>
  <cols>
    <col min="10" max="10" width="15.85546875" customWidth="1"/>
  </cols>
  <sheetData>
    <row r="2" spans="2:15" x14ac:dyDescent="0.25">
      <c r="B2" s="2" t="s">
        <v>0</v>
      </c>
      <c r="D2" s="3" t="s">
        <v>39</v>
      </c>
      <c r="E2" s="3" t="s">
        <v>4</v>
      </c>
      <c r="F2" s="3" t="s">
        <v>30</v>
      </c>
      <c r="G2" s="3" t="s">
        <v>7</v>
      </c>
      <c r="J2" s="3" t="s">
        <v>38</v>
      </c>
      <c r="K2" s="3" t="s">
        <v>4</v>
      </c>
      <c r="L2" s="3" t="s">
        <v>7</v>
      </c>
      <c r="M2" s="3" t="s">
        <v>17</v>
      </c>
      <c r="N2" s="3" t="s">
        <v>37</v>
      </c>
    </row>
    <row r="4" spans="2:15" x14ac:dyDescent="0.25">
      <c r="B4">
        <v>14</v>
      </c>
      <c r="D4">
        <v>7</v>
      </c>
      <c r="E4">
        <f t="shared" ref="E4:E21" si="0">COUNTIF($B$4:$B$53,D4)</f>
        <v>1</v>
      </c>
      <c r="F4" s="6">
        <f t="shared" ref="F4:F21" si="1">(Lambda^D4*EXP(-Lambda))/FACT(D4)</f>
        <v>1.0151151502433132E-2</v>
      </c>
      <c r="G4" s="8">
        <f t="shared" ref="G4:G21" si="2">ROUND(F4*N,0)</f>
        <v>1</v>
      </c>
      <c r="J4" s="11" t="s">
        <v>36</v>
      </c>
      <c r="K4">
        <f>SUM(E4:E7)</f>
        <v>6</v>
      </c>
      <c r="L4" s="8">
        <f>SUM(G4:G7)</f>
        <v>6</v>
      </c>
      <c r="M4" s="6">
        <f t="shared" ref="M4:M11" si="3">((L4-K4)^2)/L4</f>
        <v>0</v>
      </c>
      <c r="N4" s="6">
        <f>M4</f>
        <v>0</v>
      </c>
    </row>
    <row r="5" spans="2:15" x14ac:dyDescent="0.25">
      <c r="B5">
        <v>7</v>
      </c>
      <c r="D5">
        <v>8</v>
      </c>
      <c r="E5">
        <f t="shared" si="0"/>
        <v>1</v>
      </c>
      <c r="F5" s="6">
        <f t="shared" si="1"/>
        <v>1.9084164824574288E-2</v>
      </c>
      <c r="G5" s="8">
        <f t="shared" si="2"/>
        <v>1</v>
      </c>
      <c r="J5" s="11" t="s">
        <v>35</v>
      </c>
      <c r="K5">
        <f>SUM(E8:E9)</f>
        <v>5</v>
      </c>
      <c r="L5" s="8">
        <f>SUM(G8:G9)</f>
        <v>7</v>
      </c>
      <c r="M5" s="6">
        <f t="shared" si="3"/>
        <v>0.5714285714285714</v>
      </c>
      <c r="N5" s="6">
        <f t="shared" ref="N5:N11" si="4">M5+N4</f>
        <v>0.5714285714285714</v>
      </c>
    </row>
    <row r="6" spans="2:15" x14ac:dyDescent="0.25">
      <c r="B6">
        <v>13</v>
      </c>
      <c r="D6">
        <v>9</v>
      </c>
      <c r="E6">
        <f t="shared" si="0"/>
        <v>1</v>
      </c>
      <c r="F6" s="6">
        <f t="shared" si="1"/>
        <v>3.1891759884621916E-2</v>
      </c>
      <c r="G6" s="8">
        <f t="shared" si="2"/>
        <v>2</v>
      </c>
      <c r="J6" s="11">
        <f t="shared" ref="J6:K9" si="5">D10</f>
        <v>13</v>
      </c>
      <c r="K6">
        <f t="shared" si="5"/>
        <v>6</v>
      </c>
      <c r="L6" s="8">
        <f>G10</f>
        <v>5</v>
      </c>
      <c r="M6" s="6">
        <f t="shared" si="3"/>
        <v>0.2</v>
      </c>
      <c r="N6" s="6">
        <f t="shared" si="4"/>
        <v>0.77142857142857135</v>
      </c>
    </row>
    <row r="7" spans="2:15" x14ac:dyDescent="0.25">
      <c r="B7">
        <v>16</v>
      </c>
      <c r="D7">
        <v>10</v>
      </c>
      <c r="E7">
        <f t="shared" si="0"/>
        <v>3</v>
      </c>
      <c r="F7" s="6">
        <f t="shared" si="1"/>
        <v>4.796520686647137E-2</v>
      </c>
      <c r="G7" s="8">
        <f t="shared" si="2"/>
        <v>2</v>
      </c>
      <c r="J7" s="11">
        <f t="shared" si="5"/>
        <v>14</v>
      </c>
      <c r="K7">
        <f t="shared" si="5"/>
        <v>5</v>
      </c>
      <c r="L7" s="8">
        <f>G11</f>
        <v>5</v>
      </c>
      <c r="M7" s="6">
        <f t="shared" si="3"/>
        <v>0</v>
      </c>
      <c r="N7" s="6">
        <f t="shared" si="4"/>
        <v>0.77142857142857135</v>
      </c>
    </row>
    <row r="8" spans="2:15" x14ac:dyDescent="0.25">
      <c r="B8">
        <v>16</v>
      </c>
      <c r="D8">
        <v>11</v>
      </c>
      <c r="E8">
        <f t="shared" si="0"/>
        <v>1</v>
      </c>
      <c r="F8" s="6">
        <f t="shared" si="1"/>
        <v>6.5581519206520847E-2</v>
      </c>
      <c r="G8" s="8">
        <f t="shared" si="2"/>
        <v>3</v>
      </c>
      <c r="J8" s="11">
        <f t="shared" si="5"/>
        <v>15</v>
      </c>
      <c r="K8">
        <f t="shared" si="5"/>
        <v>6</v>
      </c>
      <c r="L8" s="8">
        <f>G12</f>
        <v>5</v>
      </c>
      <c r="M8" s="6">
        <f t="shared" si="3"/>
        <v>0.2</v>
      </c>
      <c r="N8" s="6">
        <f t="shared" si="4"/>
        <v>0.97142857142857131</v>
      </c>
    </row>
    <row r="9" spans="2:15" x14ac:dyDescent="0.25">
      <c r="B9">
        <v>13</v>
      </c>
      <c r="D9">
        <v>12</v>
      </c>
      <c r="E9">
        <f t="shared" si="0"/>
        <v>4</v>
      </c>
      <c r="F9" s="6">
        <f t="shared" si="1"/>
        <v>8.2195504072172812E-2</v>
      </c>
      <c r="G9" s="8">
        <f t="shared" si="2"/>
        <v>4</v>
      </c>
      <c r="J9" s="11">
        <f t="shared" si="5"/>
        <v>16</v>
      </c>
      <c r="K9">
        <f t="shared" si="5"/>
        <v>6</v>
      </c>
      <c r="L9" s="8">
        <f>G13</f>
        <v>5</v>
      </c>
      <c r="M9" s="6">
        <f t="shared" si="3"/>
        <v>0.2</v>
      </c>
      <c r="N9" s="6">
        <f t="shared" si="4"/>
        <v>1.1714285714285713</v>
      </c>
    </row>
    <row r="10" spans="2:15" x14ac:dyDescent="0.25">
      <c r="B10">
        <v>14</v>
      </c>
      <c r="D10">
        <v>13</v>
      </c>
      <c r="E10">
        <f t="shared" si="0"/>
        <v>6</v>
      </c>
      <c r="F10" s="6">
        <f t="shared" si="1"/>
        <v>9.5093875480421447E-2</v>
      </c>
      <c r="G10" s="8">
        <f t="shared" si="2"/>
        <v>5</v>
      </c>
      <c r="J10" s="11" t="s">
        <v>34</v>
      </c>
      <c r="K10">
        <f>SUM(E14:E15)</f>
        <v>9</v>
      </c>
      <c r="L10" s="8">
        <f>SUM(G14:G15)</f>
        <v>8</v>
      </c>
      <c r="M10" s="6">
        <f t="shared" si="3"/>
        <v>0.125</v>
      </c>
      <c r="N10" s="6">
        <f t="shared" si="4"/>
        <v>1.2964285714285713</v>
      </c>
    </row>
    <row r="11" spans="2:15" x14ac:dyDescent="0.25">
      <c r="B11">
        <v>17</v>
      </c>
      <c r="D11">
        <v>14</v>
      </c>
      <c r="E11">
        <f t="shared" si="0"/>
        <v>5</v>
      </c>
      <c r="F11" s="6">
        <f t="shared" si="1"/>
        <v>0.10215799194468135</v>
      </c>
      <c r="G11" s="8">
        <f t="shared" si="2"/>
        <v>5</v>
      </c>
      <c r="J11" s="10" t="s">
        <v>33</v>
      </c>
      <c r="K11">
        <f>SUM(E16:E21)</f>
        <v>7</v>
      </c>
      <c r="L11" s="8">
        <f>SUM(G16:G21)</f>
        <v>9</v>
      </c>
      <c r="M11" s="6">
        <f t="shared" si="3"/>
        <v>0.44444444444444442</v>
      </c>
      <c r="N11" s="9">
        <f t="shared" si="4"/>
        <v>1.7408730158730157</v>
      </c>
      <c r="O11" t="s">
        <v>19</v>
      </c>
    </row>
    <row r="12" spans="2:15" x14ac:dyDescent="0.25">
      <c r="B12">
        <v>15</v>
      </c>
      <c r="D12">
        <v>15</v>
      </c>
      <c r="E12">
        <f t="shared" si="0"/>
        <v>6</v>
      </c>
      <c r="F12" s="6">
        <f t="shared" si="1"/>
        <v>0.10243041325653381</v>
      </c>
      <c r="G12" s="8">
        <f t="shared" si="2"/>
        <v>5</v>
      </c>
      <c r="N12" s="9">
        <v>12.6</v>
      </c>
      <c r="O12" t="s">
        <v>20</v>
      </c>
    </row>
    <row r="13" spans="2:15" x14ac:dyDescent="0.25">
      <c r="B13">
        <v>16</v>
      </c>
      <c r="D13">
        <v>16</v>
      </c>
      <c r="E13">
        <f t="shared" si="0"/>
        <v>6</v>
      </c>
      <c r="F13" s="6">
        <f t="shared" si="1"/>
        <v>9.6284588461141782E-2</v>
      </c>
      <c r="G13" s="8">
        <f t="shared" si="2"/>
        <v>5</v>
      </c>
    </row>
    <row r="14" spans="2:15" x14ac:dyDescent="0.25">
      <c r="B14">
        <v>13</v>
      </c>
      <c r="D14">
        <v>17</v>
      </c>
      <c r="E14">
        <f t="shared" si="0"/>
        <v>4</v>
      </c>
      <c r="F14" s="6">
        <f t="shared" si="1"/>
        <v>8.5183541791504266E-2</v>
      </c>
      <c r="G14" s="8">
        <f t="shared" si="2"/>
        <v>4</v>
      </c>
    </row>
    <row r="15" spans="2:15" x14ac:dyDescent="0.25">
      <c r="B15">
        <v>15</v>
      </c>
      <c r="D15">
        <v>18</v>
      </c>
      <c r="E15">
        <f t="shared" si="0"/>
        <v>5</v>
      </c>
      <c r="F15" s="6">
        <f t="shared" si="1"/>
        <v>7.1175581585790224E-2</v>
      </c>
      <c r="G15" s="8">
        <f t="shared" si="2"/>
        <v>4</v>
      </c>
    </row>
    <row r="16" spans="2:15" x14ac:dyDescent="0.25">
      <c r="B16">
        <v>10</v>
      </c>
      <c r="D16">
        <v>19</v>
      </c>
      <c r="E16">
        <f t="shared" si="0"/>
        <v>1</v>
      </c>
      <c r="F16" s="6">
        <f t="shared" si="1"/>
        <v>5.6341091950014993E-2</v>
      </c>
      <c r="G16" s="8">
        <f t="shared" si="2"/>
        <v>3</v>
      </c>
    </row>
    <row r="17" spans="2:7" x14ac:dyDescent="0.25">
      <c r="B17">
        <v>15</v>
      </c>
      <c r="D17">
        <v>20</v>
      </c>
      <c r="E17">
        <f t="shared" si="0"/>
        <v>3</v>
      </c>
      <c r="F17" s="6">
        <f t="shared" si="1"/>
        <v>4.2368501146411275E-2</v>
      </c>
      <c r="G17" s="8">
        <f t="shared" si="2"/>
        <v>2</v>
      </c>
    </row>
    <row r="18" spans="2:7" x14ac:dyDescent="0.25">
      <c r="B18">
        <v>16</v>
      </c>
      <c r="D18">
        <v>21</v>
      </c>
      <c r="E18">
        <f t="shared" si="0"/>
        <v>1</v>
      </c>
      <c r="F18" s="6">
        <f t="shared" si="1"/>
        <v>3.0343917011525025E-2</v>
      </c>
      <c r="G18" s="8">
        <f t="shared" si="2"/>
        <v>2</v>
      </c>
    </row>
    <row r="19" spans="2:7" x14ac:dyDescent="0.25">
      <c r="B19">
        <v>14</v>
      </c>
      <c r="D19">
        <v>22</v>
      </c>
      <c r="E19">
        <f t="shared" si="0"/>
        <v>0</v>
      </c>
      <c r="F19" s="6">
        <f t="shared" si="1"/>
        <v>2.0744205084242566E-2</v>
      </c>
      <c r="G19" s="8">
        <f t="shared" si="2"/>
        <v>1</v>
      </c>
    </row>
    <row r="20" spans="2:7" x14ac:dyDescent="0.25">
      <c r="B20">
        <v>12</v>
      </c>
      <c r="D20">
        <v>23</v>
      </c>
      <c r="E20">
        <f t="shared" si="0"/>
        <v>1</v>
      </c>
      <c r="F20" s="6">
        <f t="shared" si="1"/>
        <v>1.3564906281174268E-2</v>
      </c>
      <c r="G20" s="8">
        <f t="shared" si="2"/>
        <v>1</v>
      </c>
    </row>
    <row r="21" spans="2:7" x14ac:dyDescent="0.25">
      <c r="B21">
        <v>17</v>
      </c>
      <c r="D21">
        <v>24</v>
      </c>
      <c r="E21">
        <f t="shared" si="0"/>
        <v>1</v>
      </c>
      <c r="F21" s="6">
        <f t="shared" si="1"/>
        <v>8.5006746028692091E-3</v>
      </c>
      <c r="G21" s="8">
        <f t="shared" si="2"/>
        <v>0</v>
      </c>
    </row>
    <row r="22" spans="2:7" x14ac:dyDescent="0.25">
      <c r="B22">
        <v>14</v>
      </c>
      <c r="E22" s="4">
        <f>SUM(E4:E21)</f>
        <v>50</v>
      </c>
      <c r="F22" s="6"/>
      <c r="G22" s="8">
        <f>SUM(G4:G21)</f>
        <v>50</v>
      </c>
    </row>
    <row r="23" spans="2:7" x14ac:dyDescent="0.25">
      <c r="B23">
        <v>12</v>
      </c>
    </row>
    <row r="24" spans="2:7" x14ac:dyDescent="0.25">
      <c r="B24">
        <v>13</v>
      </c>
    </row>
    <row r="25" spans="2:7" x14ac:dyDescent="0.25">
      <c r="B25">
        <v>20</v>
      </c>
    </row>
    <row r="26" spans="2:7" x14ac:dyDescent="0.25">
      <c r="B26">
        <v>8</v>
      </c>
    </row>
    <row r="27" spans="2:7" x14ac:dyDescent="0.25">
      <c r="B27">
        <v>17</v>
      </c>
    </row>
    <row r="28" spans="2:7" x14ac:dyDescent="0.25">
      <c r="B28">
        <v>19</v>
      </c>
    </row>
    <row r="29" spans="2:7" x14ac:dyDescent="0.25">
      <c r="B29">
        <v>11</v>
      </c>
    </row>
    <row r="30" spans="2:7" x14ac:dyDescent="0.25">
      <c r="B30">
        <v>12</v>
      </c>
    </row>
    <row r="31" spans="2:7" x14ac:dyDescent="0.25">
      <c r="B31">
        <v>17</v>
      </c>
    </row>
    <row r="32" spans="2:7" x14ac:dyDescent="0.25">
      <c r="B32">
        <v>9</v>
      </c>
    </row>
    <row r="33" spans="2:2" x14ac:dyDescent="0.25">
      <c r="B33">
        <v>18</v>
      </c>
    </row>
    <row r="34" spans="2:2" x14ac:dyDescent="0.25">
      <c r="B34">
        <v>20</v>
      </c>
    </row>
    <row r="35" spans="2:2" x14ac:dyDescent="0.25">
      <c r="B35">
        <v>10</v>
      </c>
    </row>
    <row r="36" spans="2:2" x14ac:dyDescent="0.25">
      <c r="B36">
        <v>18</v>
      </c>
    </row>
    <row r="37" spans="2:2" x14ac:dyDescent="0.25">
      <c r="B37">
        <v>15</v>
      </c>
    </row>
    <row r="38" spans="2:2" x14ac:dyDescent="0.25">
      <c r="B38">
        <v>13</v>
      </c>
    </row>
    <row r="39" spans="2:2" x14ac:dyDescent="0.25">
      <c r="B39">
        <v>16</v>
      </c>
    </row>
    <row r="40" spans="2:2" x14ac:dyDescent="0.25">
      <c r="B40">
        <v>24</v>
      </c>
    </row>
    <row r="41" spans="2:2" x14ac:dyDescent="0.25">
      <c r="B41">
        <v>18</v>
      </c>
    </row>
    <row r="42" spans="2:2" x14ac:dyDescent="0.25">
      <c r="B42">
        <v>16</v>
      </c>
    </row>
    <row r="43" spans="2:2" x14ac:dyDescent="0.25">
      <c r="B43">
        <v>18</v>
      </c>
    </row>
    <row r="44" spans="2:2" x14ac:dyDescent="0.25">
      <c r="B44">
        <v>12</v>
      </c>
    </row>
    <row r="45" spans="2:2" x14ac:dyDescent="0.25">
      <c r="B45">
        <v>14</v>
      </c>
    </row>
    <row r="46" spans="2:2" x14ac:dyDescent="0.25">
      <c r="B46">
        <v>20</v>
      </c>
    </row>
    <row r="47" spans="2:2" x14ac:dyDescent="0.25">
      <c r="B47">
        <v>15</v>
      </c>
    </row>
    <row r="48" spans="2:2" x14ac:dyDescent="0.25">
      <c r="B48">
        <v>10</v>
      </c>
    </row>
    <row r="49" spans="1:2" x14ac:dyDescent="0.25">
      <c r="B49">
        <v>13</v>
      </c>
    </row>
    <row r="50" spans="1:2" x14ac:dyDescent="0.25">
      <c r="B50">
        <v>21</v>
      </c>
    </row>
    <row r="51" spans="1:2" x14ac:dyDescent="0.25">
      <c r="B51">
        <v>23</v>
      </c>
    </row>
    <row r="52" spans="1:2" x14ac:dyDescent="0.25">
      <c r="B52">
        <v>15</v>
      </c>
    </row>
    <row r="53" spans="1:2" x14ac:dyDescent="0.25">
      <c r="B53">
        <v>18</v>
      </c>
    </row>
    <row r="55" spans="1:2" x14ac:dyDescent="0.25">
      <c r="A55" t="s">
        <v>8</v>
      </c>
      <c r="B55">
        <f>COUNT(B4:B53)</f>
        <v>50</v>
      </c>
    </row>
    <row r="56" spans="1:2" x14ac:dyDescent="0.25">
      <c r="A56" t="s">
        <v>9</v>
      </c>
      <c r="B56">
        <f>MIN(B4:B53)</f>
        <v>7</v>
      </c>
    </row>
    <row r="57" spans="1:2" x14ac:dyDescent="0.25">
      <c r="A57" t="s">
        <v>10</v>
      </c>
      <c r="B57">
        <f>MAX(B4:B53)</f>
        <v>24</v>
      </c>
    </row>
    <row r="59" spans="1:2" x14ac:dyDescent="0.25">
      <c r="A59" t="s">
        <v>32</v>
      </c>
      <c r="B59">
        <f>SUM(B4:B53)/N</f>
        <v>15.04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zoomScale="115" zoomScaleNormal="115" workbookViewId="0">
      <selection activeCell="F9" sqref="F9:F15"/>
    </sheetView>
  </sheetViews>
  <sheetFormatPr baseColWidth="10" defaultRowHeight="15" x14ac:dyDescent="0.25"/>
  <cols>
    <col min="4" max="4" width="11.5703125" customWidth="1"/>
    <col min="8" max="8" width="11.85546875" bestFit="1" customWidth="1"/>
    <col min="12" max="12" width="15.5703125" customWidth="1"/>
  </cols>
  <sheetData>
    <row r="1" spans="1:18" x14ac:dyDescent="0.25">
      <c r="A1" s="4" t="s">
        <v>13</v>
      </c>
      <c r="B1">
        <v>0.01</v>
      </c>
    </row>
    <row r="2" spans="1:18" x14ac:dyDescent="0.25">
      <c r="A2" s="4" t="s">
        <v>8</v>
      </c>
      <c r="B2">
        <f>COUNTA(B9:B158)</f>
        <v>50</v>
      </c>
      <c r="D2" s="4" t="s">
        <v>11</v>
      </c>
      <c r="E2" s="1">
        <f>(B4-B3)</f>
        <v>8.2100000000000009</v>
      </c>
      <c r="G2" s="4" t="s">
        <v>15</v>
      </c>
      <c r="H2">
        <f>SUM(B9:B58)/B2</f>
        <v>2.4984000000000002</v>
      </c>
    </row>
    <row r="3" spans="1:18" x14ac:dyDescent="0.25">
      <c r="A3" s="4" t="s">
        <v>9</v>
      </c>
      <c r="B3" s="1">
        <f>MIN(B9:B58)</f>
        <v>0.1</v>
      </c>
      <c r="D3" s="4" t="s">
        <v>14</v>
      </c>
      <c r="E3">
        <f>TRUNC(SQRT(B2),0)</f>
        <v>7</v>
      </c>
      <c r="G3" s="4" t="s">
        <v>16</v>
      </c>
      <c r="H3">
        <f>1/H2</f>
        <v>0.40025616394492475</v>
      </c>
    </row>
    <row r="4" spans="1:18" x14ac:dyDescent="0.25">
      <c r="A4" s="4" t="s">
        <v>10</v>
      </c>
      <c r="B4">
        <f>MAX(B9:B58)</f>
        <v>8.31</v>
      </c>
      <c r="D4" s="4" t="s">
        <v>12</v>
      </c>
      <c r="E4">
        <f>TRUNC((E2/E3)+B1,2)</f>
        <v>1.18</v>
      </c>
    </row>
    <row r="7" spans="1:18" x14ac:dyDescent="0.25">
      <c r="B7" s="2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L7" s="3" t="s">
        <v>1</v>
      </c>
      <c r="M7" s="3" t="s">
        <v>2</v>
      </c>
      <c r="N7" s="3" t="s">
        <v>4</v>
      </c>
      <c r="O7" s="3" t="s">
        <v>7</v>
      </c>
      <c r="P7" s="3" t="s">
        <v>17</v>
      </c>
      <c r="Q7" s="3" t="s">
        <v>18</v>
      </c>
    </row>
    <row r="9" spans="1:18" x14ac:dyDescent="0.25">
      <c r="B9" s="1">
        <v>0.1</v>
      </c>
      <c r="D9" s="1">
        <f>B3</f>
        <v>0.1</v>
      </c>
      <c r="E9" s="1">
        <f>D9+($E$4-($B$1/10))</f>
        <v>1.2790000000000001</v>
      </c>
      <c r="F9" s="1">
        <f>(E9+D9)/2</f>
        <v>0.68950000000000011</v>
      </c>
      <c r="G9">
        <f t="array" ref="G9:G15">FREQUENCY(B9:B58,E9:E15)</f>
        <v>18</v>
      </c>
      <c r="H9" s="6">
        <f t="shared" ref="H9:H15" si="0">Lambda*EXP(-Lambda*F9)*(E9-D9)</f>
        <v>0.35809372310139215</v>
      </c>
      <c r="I9" s="6">
        <f t="shared" ref="I9:I15" si="1">(1-EXP(-Lambda*E9)-(1-EXP(-Lambda*D9)))</f>
        <v>0.36142566926403386</v>
      </c>
      <c r="J9" s="6">
        <f>I9*$B$2</f>
        <v>18.071283463201691</v>
      </c>
      <c r="L9" s="1">
        <f>D9</f>
        <v>0.1</v>
      </c>
      <c r="M9" s="1">
        <f>E9</f>
        <v>1.2790000000000001</v>
      </c>
      <c r="N9">
        <f>G9</f>
        <v>18</v>
      </c>
      <c r="O9" s="6">
        <f>J9</f>
        <v>18.071283463201691</v>
      </c>
      <c r="P9" s="5">
        <f>((N9-O9)^2)/O9</f>
        <v>2.8118269166514621E-4</v>
      </c>
      <c r="Q9" s="5">
        <f>P9+Q8</f>
        <v>2.8118269166514621E-4</v>
      </c>
    </row>
    <row r="10" spans="1:18" x14ac:dyDescent="0.25">
      <c r="B10" s="1">
        <v>0.25</v>
      </c>
      <c r="D10" s="1">
        <f>D9+$E$4</f>
        <v>1.28</v>
      </c>
      <c r="E10" s="1">
        <f t="shared" ref="E10:E15" si="2">D10+($E$4-($B$1/10))</f>
        <v>2.4590000000000001</v>
      </c>
      <c r="F10" s="1">
        <f t="shared" ref="F10:F15" si="3">(E10+D10)/2</f>
        <v>1.8694999999999999</v>
      </c>
      <c r="G10">
        <v>10</v>
      </c>
      <c r="H10" s="6">
        <f t="shared" si="0"/>
        <v>0.22329471147220559</v>
      </c>
      <c r="I10" s="6">
        <f t="shared" si="1"/>
        <v>0.22537239647205498</v>
      </c>
      <c r="J10" s="6">
        <f t="shared" ref="J10:J15" si="4">I10*$B$2</f>
        <v>11.26861982360275</v>
      </c>
      <c r="L10" s="1">
        <f t="shared" ref="L10:L12" si="5">D10</f>
        <v>1.28</v>
      </c>
      <c r="M10" s="1">
        <f t="shared" ref="M10:M11" si="6">E10</f>
        <v>2.4590000000000001</v>
      </c>
      <c r="N10">
        <f t="shared" ref="N10:N11" si="7">G10</f>
        <v>10</v>
      </c>
      <c r="O10" s="6">
        <f t="shared" ref="O10:O11" si="8">J10</f>
        <v>11.26861982360275</v>
      </c>
      <c r="P10" s="5">
        <f t="shared" ref="P10:P12" si="9">((N10-O10)^2)/O10</f>
        <v>0.1428210625641041</v>
      </c>
      <c r="Q10" s="5">
        <f t="shared" ref="Q10:Q12" si="10">P10+Q9</f>
        <v>0.14310224525576923</v>
      </c>
    </row>
    <row r="11" spans="1:18" x14ac:dyDescent="0.25">
      <c r="B11" s="1">
        <v>1.53</v>
      </c>
      <c r="D11" s="1">
        <f t="shared" ref="D11:D15" si="11">D10+$E$4</f>
        <v>2.46</v>
      </c>
      <c r="E11" s="1">
        <f t="shared" si="2"/>
        <v>3.6390000000000002</v>
      </c>
      <c r="F11" s="1">
        <f t="shared" si="3"/>
        <v>3.0495000000000001</v>
      </c>
      <c r="G11">
        <v>9</v>
      </c>
      <c r="H11" s="6">
        <f t="shared" si="0"/>
        <v>0.13923876615211664</v>
      </c>
      <c r="I11" s="6">
        <f t="shared" si="1"/>
        <v>0.1405343377933993</v>
      </c>
      <c r="J11" s="6">
        <f t="shared" si="4"/>
        <v>7.0267168896699648</v>
      </c>
      <c r="L11" s="1">
        <f t="shared" si="5"/>
        <v>2.46</v>
      </c>
      <c r="M11" s="1">
        <f t="shared" si="6"/>
        <v>3.6390000000000002</v>
      </c>
      <c r="N11">
        <f t="shared" si="7"/>
        <v>9</v>
      </c>
      <c r="O11" s="6">
        <f t="shared" si="8"/>
        <v>7.0267168896699648</v>
      </c>
      <c r="P11" s="5">
        <f t="shared" si="9"/>
        <v>0.55414872900858636</v>
      </c>
      <c r="Q11" s="5">
        <f t="shared" si="10"/>
        <v>0.69725097426435556</v>
      </c>
    </row>
    <row r="12" spans="1:18" x14ac:dyDescent="0.25">
      <c r="B12" s="1">
        <v>1.83</v>
      </c>
      <c r="D12" s="1">
        <f t="shared" si="11"/>
        <v>3.6399999999999997</v>
      </c>
      <c r="E12" s="1">
        <f t="shared" si="2"/>
        <v>4.819</v>
      </c>
      <c r="F12" s="1">
        <f t="shared" si="3"/>
        <v>4.2294999999999998</v>
      </c>
      <c r="G12">
        <v>8</v>
      </c>
      <c r="H12" s="6">
        <f t="shared" si="0"/>
        <v>8.6824420837109936E-2</v>
      </c>
      <c r="I12" s="6">
        <f t="shared" si="1"/>
        <v>8.7632293964084229E-2</v>
      </c>
      <c r="J12" s="6">
        <f t="shared" si="4"/>
        <v>4.3816146982042117</v>
      </c>
      <c r="L12" s="1">
        <f t="shared" si="5"/>
        <v>3.6399999999999997</v>
      </c>
      <c r="M12" s="1">
        <f>E15</f>
        <v>8.3589999999999982</v>
      </c>
      <c r="N12">
        <f>SUM(G12:G15)</f>
        <v>13</v>
      </c>
      <c r="O12" s="6">
        <f>SUM(J12:J15)</f>
        <v>9.879932724000156</v>
      </c>
      <c r="P12" s="5">
        <f t="shared" si="9"/>
        <v>0.98531235775699533</v>
      </c>
      <c r="Q12" s="20">
        <f t="shared" si="10"/>
        <v>1.6825633320213509</v>
      </c>
      <c r="R12" s="21" t="s">
        <v>19</v>
      </c>
    </row>
    <row r="13" spans="1:18" x14ac:dyDescent="0.25">
      <c r="B13" s="1">
        <v>3.5</v>
      </c>
      <c r="D13" s="1">
        <f t="shared" si="11"/>
        <v>4.8199999999999994</v>
      </c>
      <c r="E13" s="1">
        <f t="shared" si="2"/>
        <v>5.9989999999999997</v>
      </c>
      <c r="F13" s="1">
        <f t="shared" si="3"/>
        <v>5.4094999999999995</v>
      </c>
      <c r="G13">
        <v>3</v>
      </c>
      <c r="H13" s="6">
        <f t="shared" si="0"/>
        <v>5.4140669743251497E-2</v>
      </c>
      <c r="I13" s="6">
        <f t="shared" si="1"/>
        <v>5.4644431147476968E-2</v>
      </c>
      <c r="J13" s="6">
        <f t="shared" si="4"/>
        <v>2.7322215573738484</v>
      </c>
      <c r="Q13" s="21">
        <v>5.99</v>
      </c>
      <c r="R13" s="21" t="s">
        <v>20</v>
      </c>
    </row>
    <row r="14" spans="1:18" x14ac:dyDescent="0.25">
      <c r="B14" s="1">
        <v>4.1399999999999997</v>
      </c>
      <c r="D14" s="1">
        <f t="shared" si="11"/>
        <v>5.9999999999999991</v>
      </c>
      <c r="E14" s="1">
        <f t="shared" si="2"/>
        <v>7.1789999999999994</v>
      </c>
      <c r="F14" s="1">
        <f t="shared" si="3"/>
        <v>6.5894999999999992</v>
      </c>
      <c r="G14">
        <v>1</v>
      </c>
      <c r="H14" s="6">
        <f t="shared" si="0"/>
        <v>3.3760226581263736E-2</v>
      </c>
      <c r="I14" s="6">
        <f t="shared" si="1"/>
        <v>3.4074354559920028E-2</v>
      </c>
      <c r="J14" s="6">
        <f t="shared" si="4"/>
        <v>1.7037177279960014</v>
      </c>
    </row>
    <row r="15" spans="1:18" x14ac:dyDescent="0.25">
      <c r="B15" s="1">
        <v>5.65</v>
      </c>
      <c r="D15" s="1">
        <f t="shared" si="11"/>
        <v>7.1799999999999988</v>
      </c>
      <c r="E15" s="1">
        <f t="shared" si="2"/>
        <v>8.3589999999999982</v>
      </c>
      <c r="F15" s="1">
        <f t="shared" si="3"/>
        <v>7.769499999999999</v>
      </c>
      <c r="G15">
        <v>1</v>
      </c>
      <c r="H15" s="6">
        <f t="shared" si="0"/>
        <v>2.1051695596365116E-2</v>
      </c>
      <c r="I15" s="6">
        <f t="shared" si="1"/>
        <v>2.1247574808521907E-2</v>
      </c>
      <c r="J15" s="6">
        <f t="shared" si="4"/>
        <v>1.0623787404260954</v>
      </c>
    </row>
    <row r="16" spans="1:18" x14ac:dyDescent="0.25">
      <c r="B16" s="1">
        <v>6.96</v>
      </c>
      <c r="G16" s="4">
        <f>SUM(G9:G15)</f>
        <v>50</v>
      </c>
      <c r="H16" s="7">
        <f>SUM(H9:H15)</f>
        <v>0.91640421348370471</v>
      </c>
      <c r="I16" s="7">
        <f>SUM(I9:I15)</f>
        <v>0.92493105800949127</v>
      </c>
    </row>
    <row r="17" spans="2:14" x14ac:dyDescent="0.25">
      <c r="B17" s="1">
        <v>3.04</v>
      </c>
    </row>
    <row r="18" spans="2:14" x14ac:dyDescent="0.25">
      <c r="B18" s="1">
        <v>4.22</v>
      </c>
      <c r="D18" s="3" t="s">
        <v>1</v>
      </c>
      <c r="E18" s="3" t="s">
        <v>2</v>
      </c>
      <c r="F18" s="3" t="s">
        <v>4</v>
      </c>
      <c r="G18" s="3" t="s">
        <v>7</v>
      </c>
      <c r="H18" s="3" t="s">
        <v>21</v>
      </c>
      <c r="I18" s="3" t="s">
        <v>22</v>
      </c>
      <c r="J18" s="3" t="s">
        <v>23</v>
      </c>
      <c r="K18" s="3" t="s">
        <v>24</v>
      </c>
      <c r="L18" s="3" t="s">
        <v>25</v>
      </c>
      <c r="M18" s="3" t="s">
        <v>26</v>
      </c>
    </row>
    <row r="19" spans="2:14" x14ac:dyDescent="0.25">
      <c r="B19" s="1">
        <v>1.2</v>
      </c>
    </row>
    <row r="20" spans="2:14" x14ac:dyDescent="0.25">
      <c r="B20" s="1">
        <v>5.24</v>
      </c>
      <c r="D20" s="1">
        <f>D9</f>
        <v>0.1</v>
      </c>
      <c r="E20" s="1">
        <f>E9</f>
        <v>1.2790000000000001</v>
      </c>
      <c r="F20">
        <f>G9</f>
        <v>18</v>
      </c>
      <c r="G20" s="6">
        <f>J9</f>
        <v>18.071283463201691</v>
      </c>
      <c r="H20" s="6">
        <f>F20/$B$2</f>
        <v>0.36</v>
      </c>
      <c r="I20" s="6">
        <f>I9</f>
        <v>0.36142566926403386</v>
      </c>
      <c r="J20" s="6">
        <f>H20+J19</f>
        <v>0.36</v>
      </c>
      <c r="K20" s="6">
        <f>I20+K19</f>
        <v>0.36142566926403386</v>
      </c>
      <c r="L20" s="5">
        <f>ABS(J20-K20)</f>
        <v>1.4256692640338686E-3</v>
      </c>
      <c r="M20" s="5">
        <f>MAX(L20,M19)</f>
        <v>1.4256692640338686E-3</v>
      </c>
    </row>
    <row r="21" spans="2:14" x14ac:dyDescent="0.25">
      <c r="B21" s="1">
        <v>4.75</v>
      </c>
      <c r="D21" s="1">
        <f t="shared" ref="D21:E21" si="12">D10</f>
        <v>1.28</v>
      </c>
      <c r="E21" s="1">
        <f t="shared" si="12"/>
        <v>2.4590000000000001</v>
      </c>
      <c r="F21">
        <f t="shared" ref="F21:F26" si="13">G10</f>
        <v>10</v>
      </c>
      <c r="G21" s="6">
        <f t="shared" ref="G21:G26" si="14">J10</f>
        <v>11.26861982360275</v>
      </c>
      <c r="H21" s="6">
        <f t="shared" ref="H21:H26" si="15">F21/$B$2</f>
        <v>0.2</v>
      </c>
      <c r="I21" s="6">
        <f t="shared" ref="I21:I26" si="16">I10</f>
        <v>0.22537239647205498</v>
      </c>
      <c r="J21" s="6">
        <f t="shared" ref="J21:J26" si="17">H21+J20</f>
        <v>0.56000000000000005</v>
      </c>
      <c r="K21" s="6">
        <f t="shared" ref="K21:K26" si="18">I21+K20</f>
        <v>0.58679806573608884</v>
      </c>
      <c r="L21" s="5">
        <f t="shared" ref="L21:L26" si="19">ABS(J21-K21)</f>
        <v>2.6798065736088783E-2</v>
      </c>
      <c r="M21" s="5">
        <f>MAX(L21,M20)</f>
        <v>2.6798065736088783E-2</v>
      </c>
    </row>
    <row r="22" spans="2:14" x14ac:dyDescent="0.25">
      <c r="B22" s="1">
        <v>3.96</v>
      </c>
      <c r="D22" s="1">
        <f t="shared" ref="D22:E22" si="20">D11</f>
        <v>2.46</v>
      </c>
      <c r="E22" s="1">
        <f t="shared" si="20"/>
        <v>3.6390000000000002</v>
      </c>
      <c r="F22">
        <f t="shared" si="13"/>
        <v>9</v>
      </c>
      <c r="G22" s="6">
        <f t="shared" si="14"/>
        <v>7.0267168896699648</v>
      </c>
      <c r="H22" s="6">
        <f t="shared" si="15"/>
        <v>0.18</v>
      </c>
      <c r="I22" s="6">
        <f t="shared" si="16"/>
        <v>0.1405343377933993</v>
      </c>
      <c r="J22" s="6">
        <f t="shared" si="17"/>
        <v>0.74</v>
      </c>
      <c r="K22" s="6">
        <f t="shared" si="18"/>
        <v>0.72733240352948814</v>
      </c>
      <c r="L22" s="5">
        <f t="shared" si="19"/>
        <v>1.2667596470511855E-2</v>
      </c>
      <c r="M22" s="5">
        <f>MAX(L22,M21)</f>
        <v>2.6798065736088783E-2</v>
      </c>
    </row>
    <row r="23" spans="2:14" x14ac:dyDescent="0.25">
      <c r="B23" s="1">
        <v>2.21</v>
      </c>
      <c r="D23" s="1">
        <f t="shared" ref="D23:E23" si="21">D12</f>
        <v>3.6399999999999997</v>
      </c>
      <c r="E23" s="1">
        <f t="shared" si="21"/>
        <v>4.819</v>
      </c>
      <c r="F23">
        <f t="shared" si="13"/>
        <v>8</v>
      </c>
      <c r="G23" s="6">
        <f t="shared" si="14"/>
        <v>4.3816146982042117</v>
      </c>
      <c r="H23" s="6">
        <f t="shared" si="15"/>
        <v>0.16</v>
      </c>
      <c r="I23" s="6">
        <f t="shared" si="16"/>
        <v>8.7632293964084229E-2</v>
      </c>
      <c r="J23" s="6">
        <f t="shared" si="17"/>
        <v>0.9</v>
      </c>
      <c r="K23" s="6">
        <f t="shared" si="18"/>
        <v>0.81496469749357237</v>
      </c>
      <c r="L23" s="5">
        <f t="shared" si="19"/>
        <v>8.5035302506427657E-2</v>
      </c>
      <c r="M23" s="5">
        <f t="shared" ref="M23:M26" si="22">MAX(L23,M22)</f>
        <v>8.5035302506427657E-2</v>
      </c>
    </row>
    <row r="24" spans="2:14" x14ac:dyDescent="0.25">
      <c r="B24" s="1">
        <v>3.15</v>
      </c>
      <c r="D24" s="1">
        <f t="shared" ref="D24:E24" si="23">D13</f>
        <v>4.8199999999999994</v>
      </c>
      <c r="E24" s="1">
        <f t="shared" si="23"/>
        <v>5.9989999999999997</v>
      </c>
      <c r="F24">
        <f t="shared" si="13"/>
        <v>3</v>
      </c>
      <c r="G24" s="6">
        <f t="shared" si="14"/>
        <v>2.7322215573738484</v>
      </c>
      <c r="H24" s="6">
        <f t="shared" si="15"/>
        <v>0.06</v>
      </c>
      <c r="I24" s="6">
        <f t="shared" si="16"/>
        <v>5.4644431147476968E-2</v>
      </c>
      <c r="J24" s="6">
        <f t="shared" si="17"/>
        <v>0.96</v>
      </c>
      <c r="K24" s="6">
        <f t="shared" si="18"/>
        <v>0.86960912864104933</v>
      </c>
      <c r="L24" s="5">
        <f t="shared" si="19"/>
        <v>9.0390871358950631E-2</v>
      </c>
      <c r="M24" s="5">
        <f t="shared" si="22"/>
        <v>9.0390871358950631E-2</v>
      </c>
    </row>
    <row r="25" spans="2:14" x14ac:dyDescent="0.25">
      <c r="B25" s="1">
        <v>2.5299999999999998</v>
      </c>
      <c r="D25" s="1">
        <f t="shared" ref="D25:E25" si="24">D14</f>
        <v>5.9999999999999991</v>
      </c>
      <c r="E25" s="1">
        <f t="shared" si="24"/>
        <v>7.1789999999999994</v>
      </c>
      <c r="F25">
        <f t="shared" si="13"/>
        <v>1</v>
      </c>
      <c r="G25" s="6">
        <f t="shared" si="14"/>
        <v>1.7037177279960014</v>
      </c>
      <c r="H25" s="6">
        <f t="shared" si="15"/>
        <v>0.02</v>
      </c>
      <c r="I25" s="6">
        <f t="shared" si="16"/>
        <v>3.4074354559920028E-2</v>
      </c>
      <c r="J25" s="6">
        <f t="shared" si="17"/>
        <v>0.98</v>
      </c>
      <c r="K25" s="6">
        <f t="shared" si="18"/>
        <v>0.90368348320096936</v>
      </c>
      <c r="L25" s="5">
        <f t="shared" si="19"/>
        <v>7.631651679903062E-2</v>
      </c>
      <c r="M25" s="5">
        <f t="shared" si="22"/>
        <v>9.0390871358950631E-2</v>
      </c>
    </row>
    <row r="26" spans="2:14" x14ac:dyDescent="0.25">
      <c r="B26" s="1">
        <v>1.1599999999999999</v>
      </c>
      <c r="D26" s="1">
        <f t="shared" ref="D26:E26" si="25">D15</f>
        <v>7.1799999999999988</v>
      </c>
      <c r="E26" s="1">
        <f t="shared" si="25"/>
        <v>8.3589999999999982</v>
      </c>
      <c r="F26">
        <f t="shared" si="13"/>
        <v>1</v>
      </c>
      <c r="G26" s="6">
        <f t="shared" si="14"/>
        <v>1.0623787404260954</v>
      </c>
      <c r="H26" s="6">
        <f t="shared" si="15"/>
        <v>0.02</v>
      </c>
      <c r="I26" s="6">
        <f t="shared" si="16"/>
        <v>2.1247574808521907E-2</v>
      </c>
      <c r="J26" s="6">
        <f t="shared" si="17"/>
        <v>1</v>
      </c>
      <c r="K26" s="6">
        <f t="shared" si="18"/>
        <v>0.92493105800949127</v>
      </c>
      <c r="L26" s="5">
        <f t="shared" si="19"/>
        <v>7.5068941990508731E-2</v>
      </c>
      <c r="M26" s="20">
        <f t="shared" si="22"/>
        <v>9.0390871358950631E-2</v>
      </c>
      <c r="N26" s="21" t="s">
        <v>19</v>
      </c>
    </row>
    <row r="27" spans="2:14" x14ac:dyDescent="0.25">
      <c r="B27" s="1">
        <v>0.32</v>
      </c>
      <c r="H27" s="6">
        <f>SUM(H20:H26)</f>
        <v>1</v>
      </c>
      <c r="I27" s="6">
        <f>SUM(I20:I26)</f>
        <v>0.92493105800949127</v>
      </c>
      <c r="M27" s="20">
        <f>1.36/SQRT($B$2)</f>
        <v>0.19233304448274094</v>
      </c>
      <c r="N27" s="21" t="s">
        <v>20</v>
      </c>
    </row>
    <row r="28" spans="2:14" x14ac:dyDescent="0.25">
      <c r="B28" s="1">
        <v>0.9</v>
      </c>
    </row>
    <row r="29" spans="2:14" x14ac:dyDescent="0.25">
      <c r="B29" s="1">
        <v>0.87</v>
      </c>
    </row>
    <row r="30" spans="2:14" x14ac:dyDescent="0.25">
      <c r="B30" s="1">
        <v>1.34</v>
      </c>
    </row>
    <row r="31" spans="2:14" x14ac:dyDescent="0.25">
      <c r="B31" s="1">
        <v>1.87</v>
      </c>
    </row>
    <row r="32" spans="2:14" x14ac:dyDescent="0.25">
      <c r="B32" s="1">
        <v>2.91</v>
      </c>
    </row>
    <row r="33" spans="1:2" x14ac:dyDescent="0.25">
      <c r="B33" s="1">
        <v>0.71</v>
      </c>
    </row>
    <row r="34" spans="1:2" x14ac:dyDescent="0.25">
      <c r="B34" s="1">
        <v>1.69</v>
      </c>
    </row>
    <row r="35" spans="1:2" x14ac:dyDescent="0.25">
      <c r="B35" s="1">
        <v>0.69</v>
      </c>
    </row>
    <row r="36" spans="1:2" x14ac:dyDescent="0.25">
      <c r="B36" s="1">
        <v>0.55000000000000004</v>
      </c>
    </row>
    <row r="37" spans="1:2" x14ac:dyDescent="0.25">
      <c r="B37" s="1">
        <v>0.43</v>
      </c>
    </row>
    <row r="38" spans="1:2" x14ac:dyDescent="0.25">
      <c r="B38" s="1">
        <v>0.26</v>
      </c>
    </row>
    <row r="39" spans="1:2" x14ac:dyDescent="0.25">
      <c r="B39" s="1">
        <v>0.12</v>
      </c>
    </row>
    <row r="40" spans="1:2" x14ac:dyDescent="0.25">
      <c r="A40" s="4"/>
      <c r="B40" s="1">
        <v>0.24</v>
      </c>
    </row>
    <row r="41" spans="1:2" x14ac:dyDescent="0.25">
      <c r="A41" s="4"/>
      <c r="B41" s="1">
        <v>1.52</v>
      </c>
    </row>
    <row r="42" spans="1:2" x14ac:dyDescent="0.25">
      <c r="A42" s="4"/>
      <c r="B42" s="1">
        <v>2.31</v>
      </c>
    </row>
    <row r="43" spans="1:2" x14ac:dyDescent="0.25">
      <c r="B43" s="1">
        <v>3.45</v>
      </c>
    </row>
    <row r="44" spans="1:2" x14ac:dyDescent="0.25">
      <c r="A44" s="4"/>
      <c r="B44" s="1">
        <v>4.12</v>
      </c>
    </row>
    <row r="45" spans="1:2" x14ac:dyDescent="0.25">
      <c r="A45" s="4"/>
      <c r="B45" s="1">
        <v>4.75</v>
      </c>
    </row>
    <row r="46" spans="1:2" x14ac:dyDescent="0.25">
      <c r="A46" s="4"/>
      <c r="B46" s="1">
        <v>3.25</v>
      </c>
    </row>
    <row r="47" spans="1:2" x14ac:dyDescent="0.25">
      <c r="B47" s="1">
        <v>3.99</v>
      </c>
    </row>
    <row r="48" spans="1:2" x14ac:dyDescent="0.25">
      <c r="A48" s="4"/>
      <c r="B48" s="1">
        <v>8.31</v>
      </c>
    </row>
    <row r="49" spans="1:2" x14ac:dyDescent="0.25">
      <c r="A49" s="4"/>
      <c r="B49" s="1">
        <v>1.21</v>
      </c>
    </row>
    <row r="50" spans="1:2" x14ac:dyDescent="0.25">
      <c r="B50" s="1">
        <v>5.28</v>
      </c>
    </row>
    <row r="51" spans="1:2" x14ac:dyDescent="0.25">
      <c r="B51" s="1">
        <v>4.79</v>
      </c>
    </row>
    <row r="52" spans="1:2" x14ac:dyDescent="0.25">
      <c r="B52" s="1">
        <v>3.61</v>
      </c>
    </row>
    <row r="53" spans="1:2" x14ac:dyDescent="0.25">
      <c r="B53" s="1">
        <v>2.1800000000000002</v>
      </c>
    </row>
    <row r="54" spans="1:2" x14ac:dyDescent="0.25">
      <c r="B54" s="1">
        <v>3.19</v>
      </c>
    </row>
    <row r="55" spans="1:2" x14ac:dyDescent="0.25">
      <c r="B55" s="1">
        <v>2.19</v>
      </c>
    </row>
    <row r="56" spans="1:2" x14ac:dyDescent="0.25">
      <c r="B56" s="1">
        <v>1.18</v>
      </c>
    </row>
    <row r="57" spans="1:2" x14ac:dyDescent="0.25">
      <c r="B57" s="1">
        <v>0.33</v>
      </c>
    </row>
    <row r="58" spans="1:2" x14ac:dyDescent="0.25">
      <c r="B58" s="1">
        <v>0.94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zoomScale="115" zoomScaleNormal="115" workbookViewId="0">
      <selection activeCell="Q23" sqref="Q23"/>
    </sheetView>
  </sheetViews>
  <sheetFormatPr baseColWidth="10" defaultRowHeight="15" x14ac:dyDescent="0.25"/>
  <cols>
    <col min="13" max="13" width="15" customWidth="1"/>
  </cols>
  <sheetData>
    <row r="1" spans="1:18" x14ac:dyDescent="0.25">
      <c r="A1" s="4" t="s">
        <v>13</v>
      </c>
      <c r="B1">
        <v>0.01</v>
      </c>
    </row>
    <row r="2" spans="1:18" x14ac:dyDescent="0.25">
      <c r="A2" s="4" t="s">
        <v>8</v>
      </c>
      <c r="B2">
        <f>COUNTA(B9:B158)</f>
        <v>50</v>
      </c>
      <c r="E2" s="4" t="s">
        <v>11</v>
      </c>
      <c r="F2" s="1">
        <f>(B4-B3)</f>
        <v>6.15</v>
      </c>
      <c r="H2" s="4" t="s">
        <v>27</v>
      </c>
      <c r="I2">
        <f>SUM(B9:B58)/B2</f>
        <v>4.7962000000000016</v>
      </c>
    </row>
    <row r="3" spans="1:18" x14ac:dyDescent="0.25">
      <c r="A3" s="4" t="s">
        <v>9</v>
      </c>
      <c r="B3" s="1">
        <f>MIN(B9:B58)</f>
        <v>1.56</v>
      </c>
      <c r="E3" s="4" t="s">
        <v>14</v>
      </c>
      <c r="F3">
        <f>TRUNC(SQRT(B2),0)</f>
        <v>7</v>
      </c>
      <c r="H3" s="4" t="s">
        <v>28</v>
      </c>
      <c r="I3">
        <f>SQRT(C59)</f>
        <v>1.4598279043106694</v>
      </c>
    </row>
    <row r="4" spans="1:18" x14ac:dyDescent="0.25">
      <c r="A4" s="4" t="s">
        <v>10</v>
      </c>
      <c r="B4">
        <f>MAX(B9:B58)</f>
        <v>7.71</v>
      </c>
      <c r="E4" s="4" t="s">
        <v>12</v>
      </c>
      <c r="F4">
        <f>TRUNC((F2/F3)+B1,2)</f>
        <v>0.88</v>
      </c>
    </row>
    <row r="7" spans="1:18" x14ac:dyDescent="0.25">
      <c r="B7" s="2" t="s">
        <v>0</v>
      </c>
      <c r="E7" s="3" t="s">
        <v>1</v>
      </c>
      <c r="F7" s="3" t="s">
        <v>2</v>
      </c>
      <c r="G7" s="3" t="s">
        <v>29</v>
      </c>
      <c r="H7" s="3" t="s">
        <v>4</v>
      </c>
      <c r="I7" s="3" t="s">
        <v>30</v>
      </c>
      <c r="J7" s="3" t="s">
        <v>7</v>
      </c>
      <c r="L7" s="3" t="s">
        <v>1</v>
      </c>
      <c r="M7" s="3" t="s">
        <v>2</v>
      </c>
      <c r="N7" s="3" t="s">
        <v>4</v>
      </c>
      <c r="O7" s="3" t="s">
        <v>7</v>
      </c>
      <c r="P7" s="3" t="s">
        <v>17</v>
      </c>
      <c r="Q7" s="3" t="s">
        <v>31</v>
      </c>
    </row>
    <row r="9" spans="1:18" x14ac:dyDescent="0.25">
      <c r="B9" s="1">
        <v>1.56</v>
      </c>
      <c r="C9" s="5">
        <f t="shared" ref="C9:C40" si="0">(B9-Media)^2</f>
        <v>10.472990440000009</v>
      </c>
      <c r="E9" s="1">
        <f>B3</f>
        <v>1.56</v>
      </c>
      <c r="F9" s="1">
        <f>E9+($F$4-($B$1/10))</f>
        <v>2.4390000000000001</v>
      </c>
      <c r="G9" s="1">
        <f>(E9+F9)/2</f>
        <v>1.9995000000000001</v>
      </c>
      <c r="H9">
        <f t="array" ref="H9:H15">FREQUENCY(B9:B58,F9:F15)</f>
        <v>3</v>
      </c>
      <c r="I9" s="6">
        <f t="shared" ref="I9:I15" si="1">((EXP(-0.5*((G9-Media)/DesvStd)^2))/(DesvStd*SQRT(2*PI())))*(F9-E9)</f>
        <v>3.8337681004937896E-2</v>
      </c>
      <c r="J9" s="6">
        <f>I9*$B$2</f>
        <v>1.9168840502468947</v>
      </c>
      <c r="L9" s="1">
        <f>E9</f>
        <v>1.56</v>
      </c>
      <c r="M9" s="1">
        <f>F10</f>
        <v>3.319</v>
      </c>
      <c r="N9">
        <f>SUM(H9:H10)</f>
        <v>8</v>
      </c>
      <c r="O9" s="6">
        <f>SUM(J9:J10)</f>
        <v>6.989515154513942</v>
      </c>
      <c r="P9" s="5">
        <f>((N9-O9)^2)/O9</f>
        <v>0.14608733229479484</v>
      </c>
      <c r="Q9" s="5">
        <f>P9+Q8</f>
        <v>0.14608733229479484</v>
      </c>
    </row>
    <row r="10" spans="1:18" x14ac:dyDescent="0.25">
      <c r="B10" s="1">
        <v>2.21</v>
      </c>
      <c r="C10" s="5">
        <f t="shared" si="0"/>
        <v>6.6884304400000083</v>
      </c>
      <c r="E10" s="1">
        <f>E9+$F$4</f>
        <v>2.44</v>
      </c>
      <c r="F10" s="1">
        <f t="shared" ref="F10:F15" si="2">E10+($F$4-($B$1/10))</f>
        <v>3.319</v>
      </c>
      <c r="G10" s="1">
        <f t="shared" ref="G10:G15" si="3">(E10+F10)/2</f>
        <v>2.8795000000000002</v>
      </c>
      <c r="H10">
        <v>5</v>
      </c>
      <c r="I10" s="6">
        <f t="shared" si="1"/>
        <v>0.10145262208534093</v>
      </c>
      <c r="J10" s="6">
        <f t="shared" ref="J10:J15" si="4">I10*$B$2</f>
        <v>5.0726311042670469</v>
      </c>
      <c r="L10" s="1">
        <f>E11</f>
        <v>3.32</v>
      </c>
      <c r="M10" s="1">
        <f>F11</f>
        <v>4.1989999999999998</v>
      </c>
      <c r="N10">
        <f>H11</f>
        <v>7</v>
      </c>
      <c r="O10" s="6">
        <f>J11</f>
        <v>9.3337555808955095</v>
      </c>
      <c r="P10" s="5">
        <f t="shared" ref="P10:P13" si="5">((N10-O10)^2)/O10</f>
        <v>0.58351807738663664</v>
      </c>
      <c r="Q10" s="5">
        <f t="shared" ref="Q10:Q13" si="6">P10+Q9</f>
        <v>0.7296054096814315</v>
      </c>
    </row>
    <row r="11" spans="1:18" x14ac:dyDescent="0.25">
      <c r="B11" s="1">
        <v>3.15</v>
      </c>
      <c r="C11" s="5">
        <f t="shared" si="0"/>
        <v>2.7099744400000056</v>
      </c>
      <c r="E11" s="1">
        <f t="shared" ref="E11:E15" si="7">E10+$F$4</f>
        <v>3.32</v>
      </c>
      <c r="F11" s="1">
        <f t="shared" si="2"/>
        <v>4.1989999999999998</v>
      </c>
      <c r="G11" s="1">
        <f t="shared" si="3"/>
        <v>3.7595000000000001</v>
      </c>
      <c r="H11">
        <v>7</v>
      </c>
      <c r="I11" s="6">
        <f t="shared" si="1"/>
        <v>0.18667511161791017</v>
      </c>
      <c r="J11" s="6">
        <f t="shared" si="4"/>
        <v>9.3337555808955095</v>
      </c>
      <c r="L11" s="1">
        <f t="shared" ref="L11:L12" si="8">E12</f>
        <v>4.2</v>
      </c>
      <c r="M11" s="1">
        <f t="shared" ref="M11:M12" si="9">F12</f>
        <v>5.0790000000000006</v>
      </c>
      <c r="N11">
        <f t="shared" ref="N11:N12" si="10">H12</f>
        <v>15</v>
      </c>
      <c r="O11" s="6">
        <f t="shared" ref="O11:O12" si="11">J12</f>
        <v>11.941675750204341</v>
      </c>
      <c r="P11" s="5">
        <f t="shared" si="5"/>
        <v>0.78325248587729634</v>
      </c>
      <c r="Q11" s="5">
        <f t="shared" si="6"/>
        <v>1.512857895558728</v>
      </c>
    </row>
    <row r="12" spans="1:18" x14ac:dyDescent="0.25">
      <c r="B12" s="1">
        <v>4.6100000000000003</v>
      </c>
      <c r="C12" s="5">
        <f t="shared" si="0"/>
        <v>3.4670440000000469E-2</v>
      </c>
      <c r="E12" s="1">
        <f t="shared" si="7"/>
        <v>4.2</v>
      </c>
      <c r="F12" s="1">
        <f t="shared" si="2"/>
        <v>5.0790000000000006</v>
      </c>
      <c r="G12" s="1">
        <f t="shared" si="3"/>
        <v>4.6395</v>
      </c>
      <c r="H12">
        <v>15</v>
      </c>
      <c r="I12" s="6">
        <f t="shared" si="1"/>
        <v>0.23883351500408684</v>
      </c>
      <c r="J12" s="6">
        <f t="shared" si="4"/>
        <v>11.941675750204341</v>
      </c>
      <c r="L12" s="1">
        <f t="shared" si="8"/>
        <v>5.08</v>
      </c>
      <c r="M12" s="1">
        <f t="shared" si="9"/>
        <v>5.9589999999999996</v>
      </c>
      <c r="N12">
        <f t="shared" si="10"/>
        <v>9</v>
      </c>
      <c r="O12" s="6">
        <f t="shared" si="11"/>
        <v>10.623309451477537</v>
      </c>
      <c r="P12" s="5">
        <f t="shared" si="5"/>
        <v>0.24805203946024526</v>
      </c>
      <c r="Q12" s="5">
        <f t="shared" si="6"/>
        <v>1.7609099350189732</v>
      </c>
    </row>
    <row r="13" spans="1:18" x14ac:dyDescent="0.25">
      <c r="B13" s="1">
        <v>4.18</v>
      </c>
      <c r="C13" s="5">
        <f t="shared" si="0"/>
        <v>0.37970244000000231</v>
      </c>
      <c r="E13" s="1">
        <f t="shared" si="7"/>
        <v>5.08</v>
      </c>
      <c r="F13" s="1">
        <f t="shared" si="2"/>
        <v>5.9589999999999996</v>
      </c>
      <c r="G13" s="1">
        <f t="shared" si="3"/>
        <v>5.5194999999999999</v>
      </c>
      <c r="H13">
        <v>9</v>
      </c>
      <c r="I13" s="6">
        <f t="shared" si="1"/>
        <v>0.21246618902955075</v>
      </c>
      <c r="J13" s="6">
        <f t="shared" si="4"/>
        <v>10.623309451477537</v>
      </c>
      <c r="L13" s="1">
        <f>E14</f>
        <v>5.96</v>
      </c>
      <c r="M13" s="1">
        <f>F15</f>
        <v>7.7189999999999994</v>
      </c>
      <c r="N13">
        <f>SUM(H14:H15)</f>
        <v>11</v>
      </c>
      <c r="O13" s="6">
        <f>SUM(J14:J15)</f>
        <v>9.3973512506038901</v>
      </c>
      <c r="P13" s="5">
        <f t="shared" si="5"/>
        <v>0.27331989040804022</v>
      </c>
      <c r="Q13" s="20">
        <f t="shared" si="6"/>
        <v>2.0342298254270132</v>
      </c>
      <c r="R13" s="14" t="s">
        <v>19</v>
      </c>
    </row>
    <row r="14" spans="1:18" x14ac:dyDescent="0.25">
      <c r="B14" s="1">
        <v>5.2</v>
      </c>
      <c r="C14" s="5">
        <f t="shared" si="0"/>
        <v>0.16305443999999888</v>
      </c>
      <c r="E14" s="1">
        <f t="shared" si="7"/>
        <v>5.96</v>
      </c>
      <c r="F14" s="1">
        <f t="shared" si="2"/>
        <v>6.8390000000000004</v>
      </c>
      <c r="G14" s="1">
        <f t="shared" si="3"/>
        <v>6.3994999999999997</v>
      </c>
      <c r="H14">
        <v>7</v>
      </c>
      <c r="I14" s="6">
        <f t="shared" si="1"/>
        <v>0.13142261152127205</v>
      </c>
      <c r="J14" s="6">
        <f t="shared" si="4"/>
        <v>6.5711305760636023</v>
      </c>
      <c r="Q14" s="21">
        <v>5.99</v>
      </c>
      <c r="R14" s="14" t="s">
        <v>20</v>
      </c>
    </row>
    <row r="15" spans="1:18" x14ac:dyDescent="0.25">
      <c r="B15" s="1">
        <v>4.87</v>
      </c>
      <c r="C15" s="5">
        <f t="shared" si="0"/>
        <v>5.4464399999997835E-3</v>
      </c>
      <c r="E15" s="1">
        <f t="shared" si="7"/>
        <v>6.84</v>
      </c>
      <c r="F15" s="1">
        <f t="shared" si="2"/>
        <v>7.7189999999999994</v>
      </c>
      <c r="G15" s="1">
        <f t="shared" si="3"/>
        <v>7.2794999999999996</v>
      </c>
      <c r="H15">
        <v>4</v>
      </c>
      <c r="I15" s="6">
        <f t="shared" si="1"/>
        <v>5.6524413490805774E-2</v>
      </c>
      <c r="J15" s="6">
        <f t="shared" si="4"/>
        <v>2.8262206745402887</v>
      </c>
    </row>
    <row r="16" spans="1:18" x14ac:dyDescent="0.25">
      <c r="B16" s="1">
        <v>7.71</v>
      </c>
      <c r="C16" s="5">
        <f t="shared" si="0"/>
        <v>8.4902304399999906</v>
      </c>
      <c r="I16" s="7">
        <f>SUM(I9:I15)</f>
        <v>0.96571214375390435</v>
      </c>
    </row>
    <row r="17" spans="2:15" x14ac:dyDescent="0.25">
      <c r="B17" s="1">
        <v>5.15</v>
      </c>
      <c r="C17" s="5">
        <f t="shared" si="0"/>
        <v>0.12517443999999914</v>
      </c>
    </row>
    <row r="18" spans="2:15" x14ac:dyDescent="0.25">
      <c r="B18" s="1">
        <v>6.76</v>
      </c>
      <c r="C18" s="5">
        <f t="shared" si="0"/>
        <v>3.856510439999993</v>
      </c>
      <c r="E18" s="3" t="s">
        <v>1</v>
      </c>
      <c r="F18" s="3" t="s">
        <v>2</v>
      </c>
      <c r="G18" s="3" t="s">
        <v>4</v>
      </c>
      <c r="H18" s="3" t="s">
        <v>7</v>
      </c>
      <c r="I18" s="3" t="s">
        <v>21</v>
      </c>
      <c r="J18" s="3" t="s">
        <v>22</v>
      </c>
      <c r="K18" s="3" t="s">
        <v>23</v>
      </c>
      <c r="L18" s="3" t="s">
        <v>24</v>
      </c>
      <c r="M18" s="3" t="s">
        <v>25</v>
      </c>
      <c r="N18" s="3" t="s">
        <v>26</v>
      </c>
    </row>
    <row r="19" spans="2:15" x14ac:dyDescent="0.25">
      <c r="B19" s="1">
        <v>7.28</v>
      </c>
      <c r="C19" s="5">
        <f t="shared" si="0"/>
        <v>6.1692624399999936</v>
      </c>
    </row>
    <row r="20" spans="2:15" x14ac:dyDescent="0.25">
      <c r="B20" s="1">
        <v>4.2300000000000004</v>
      </c>
      <c r="C20" s="5">
        <f t="shared" si="0"/>
        <v>0.3205824400000013</v>
      </c>
      <c r="E20" s="1">
        <f>E9</f>
        <v>1.56</v>
      </c>
      <c r="F20" s="1">
        <f>F9</f>
        <v>2.4390000000000001</v>
      </c>
      <c r="G20">
        <f>H9</f>
        <v>3</v>
      </c>
      <c r="H20" s="6">
        <f>J9</f>
        <v>1.9168840502468947</v>
      </c>
      <c r="I20">
        <f>G20/$B$2</f>
        <v>0.06</v>
      </c>
      <c r="J20" s="6">
        <f>I9</f>
        <v>3.8337681004937896E-2</v>
      </c>
      <c r="K20">
        <f>I20+K19</f>
        <v>0.06</v>
      </c>
      <c r="L20" s="6">
        <f>J20+L19</f>
        <v>3.8337681004937896E-2</v>
      </c>
      <c r="M20" s="5">
        <f>ABS(K20-L20)</f>
        <v>2.1662318995062102E-2</v>
      </c>
      <c r="N20" s="5">
        <f>MAX(M20,N19)</f>
        <v>2.1662318995062102E-2</v>
      </c>
    </row>
    <row r="21" spans="2:15" x14ac:dyDescent="0.25">
      <c r="B21" s="1">
        <v>3.54</v>
      </c>
      <c r="C21" s="5">
        <f t="shared" si="0"/>
        <v>1.5780384400000038</v>
      </c>
      <c r="E21" s="1">
        <f t="shared" ref="E21:F21" si="12">E10</f>
        <v>2.44</v>
      </c>
      <c r="F21" s="1">
        <f t="shared" si="12"/>
        <v>3.319</v>
      </c>
      <c r="G21">
        <f t="shared" ref="G21:G26" si="13">H10</f>
        <v>5</v>
      </c>
      <c r="H21" s="6">
        <f t="shared" ref="H21:H26" si="14">J10</f>
        <v>5.0726311042670469</v>
      </c>
      <c r="I21">
        <f t="shared" ref="I21:I26" si="15">G21/$B$2</f>
        <v>0.1</v>
      </c>
      <c r="J21" s="6">
        <f t="shared" ref="J21:J26" si="16">I10</f>
        <v>0.10145262208534093</v>
      </c>
      <c r="K21">
        <f t="shared" ref="K21:K26" si="17">I21+K20</f>
        <v>0.16</v>
      </c>
      <c r="L21" s="6">
        <f t="shared" ref="L21:L26" si="18">J21+L20</f>
        <v>0.13979030309027884</v>
      </c>
      <c r="M21" s="5">
        <f t="shared" ref="M21:M26" si="19">ABS(K21-L21)</f>
        <v>2.0209696909721159E-2</v>
      </c>
      <c r="N21" s="5">
        <f t="shared" ref="N21:N26" si="20">MAX(M21,N20)</f>
        <v>2.1662318995062102E-2</v>
      </c>
    </row>
    <row r="22" spans="2:15" x14ac:dyDescent="0.25">
      <c r="B22" s="1">
        <v>2.75</v>
      </c>
      <c r="C22" s="5">
        <f t="shared" si="0"/>
        <v>4.1869344400000061</v>
      </c>
      <c r="E22" s="1">
        <f t="shared" ref="E22:F22" si="21">E11</f>
        <v>3.32</v>
      </c>
      <c r="F22" s="1">
        <f t="shared" si="21"/>
        <v>4.1989999999999998</v>
      </c>
      <c r="G22">
        <f t="shared" si="13"/>
        <v>7</v>
      </c>
      <c r="H22" s="6">
        <f t="shared" si="14"/>
        <v>9.3337555808955095</v>
      </c>
      <c r="I22">
        <f t="shared" si="15"/>
        <v>0.14000000000000001</v>
      </c>
      <c r="J22" s="6">
        <f t="shared" si="16"/>
        <v>0.18667511161791017</v>
      </c>
      <c r="K22">
        <f t="shared" si="17"/>
        <v>0.30000000000000004</v>
      </c>
      <c r="L22" s="6">
        <f t="shared" si="18"/>
        <v>0.32646541470818902</v>
      </c>
      <c r="M22" s="5">
        <f t="shared" si="19"/>
        <v>2.6465414708188972E-2</v>
      </c>
      <c r="N22" s="5">
        <f t="shared" si="20"/>
        <v>2.6465414708188972E-2</v>
      </c>
    </row>
    <row r="23" spans="2:15" x14ac:dyDescent="0.25">
      <c r="B23" s="1">
        <v>4.6900000000000004</v>
      </c>
      <c r="C23" s="5">
        <f t="shared" si="0"/>
        <v>1.127844000000025E-2</v>
      </c>
      <c r="E23" s="1">
        <f t="shared" ref="E23:F23" si="22">E12</f>
        <v>4.2</v>
      </c>
      <c r="F23" s="1">
        <f t="shared" si="22"/>
        <v>5.0790000000000006</v>
      </c>
      <c r="G23">
        <f t="shared" si="13"/>
        <v>15</v>
      </c>
      <c r="H23" s="6">
        <f t="shared" si="14"/>
        <v>11.941675750204341</v>
      </c>
      <c r="I23">
        <f t="shared" si="15"/>
        <v>0.3</v>
      </c>
      <c r="J23" s="6">
        <f t="shared" si="16"/>
        <v>0.23883351500408684</v>
      </c>
      <c r="K23">
        <f t="shared" si="17"/>
        <v>0.60000000000000009</v>
      </c>
      <c r="L23" s="6">
        <f t="shared" si="18"/>
        <v>0.56529892971227591</v>
      </c>
      <c r="M23" s="5">
        <f t="shared" si="19"/>
        <v>3.4701070287724178E-2</v>
      </c>
      <c r="N23" s="5">
        <f t="shared" si="20"/>
        <v>3.4701070287724178E-2</v>
      </c>
    </row>
    <row r="24" spans="2:15" x14ac:dyDescent="0.25">
      <c r="B24" s="1">
        <v>5.86</v>
      </c>
      <c r="C24" s="5">
        <f t="shared" si="0"/>
        <v>1.1316704399999973</v>
      </c>
      <c r="E24" s="1">
        <f t="shared" ref="E24:F24" si="23">E13</f>
        <v>5.08</v>
      </c>
      <c r="F24" s="1">
        <f t="shared" si="23"/>
        <v>5.9589999999999996</v>
      </c>
      <c r="G24">
        <f t="shared" si="13"/>
        <v>9</v>
      </c>
      <c r="H24" s="6">
        <f t="shared" si="14"/>
        <v>10.623309451477537</v>
      </c>
      <c r="I24">
        <f t="shared" si="15"/>
        <v>0.18</v>
      </c>
      <c r="J24" s="6">
        <f t="shared" si="16"/>
        <v>0.21246618902955075</v>
      </c>
      <c r="K24">
        <f t="shared" si="17"/>
        <v>0.78</v>
      </c>
      <c r="L24" s="6">
        <f t="shared" si="18"/>
        <v>0.77776511874182663</v>
      </c>
      <c r="M24" s="5">
        <f t="shared" si="19"/>
        <v>2.2348812581733934E-3</v>
      </c>
      <c r="N24" s="5">
        <f t="shared" si="20"/>
        <v>3.4701070287724178E-2</v>
      </c>
    </row>
    <row r="25" spans="2:15" x14ac:dyDescent="0.25">
      <c r="B25" s="1">
        <v>6.25</v>
      </c>
      <c r="C25" s="5">
        <f t="shared" si="0"/>
        <v>2.1135344399999956</v>
      </c>
      <c r="E25" s="1">
        <f t="shared" ref="E25:F25" si="24">E14</f>
        <v>5.96</v>
      </c>
      <c r="F25" s="1">
        <f t="shared" si="24"/>
        <v>6.8390000000000004</v>
      </c>
      <c r="G25">
        <f t="shared" si="13"/>
        <v>7</v>
      </c>
      <c r="H25" s="6">
        <f t="shared" si="14"/>
        <v>6.5711305760636023</v>
      </c>
      <c r="I25">
        <f t="shared" si="15"/>
        <v>0.14000000000000001</v>
      </c>
      <c r="J25" s="6">
        <f t="shared" si="16"/>
        <v>0.13142261152127205</v>
      </c>
      <c r="K25">
        <f t="shared" si="17"/>
        <v>0.92</v>
      </c>
      <c r="L25" s="6">
        <f t="shared" si="18"/>
        <v>0.90918773026309863</v>
      </c>
      <c r="M25" s="5">
        <f t="shared" si="19"/>
        <v>1.0812269736901414E-2</v>
      </c>
      <c r="N25" s="5">
        <f t="shared" si="20"/>
        <v>3.4701070287724178E-2</v>
      </c>
    </row>
    <row r="26" spans="2:15" x14ac:dyDescent="0.25">
      <c r="B26" s="1">
        <v>4.2699999999999996</v>
      </c>
      <c r="C26" s="5">
        <f t="shared" si="0"/>
        <v>0.27688644000000212</v>
      </c>
      <c r="E26" s="1">
        <f t="shared" ref="E26:F26" si="25">E15</f>
        <v>6.84</v>
      </c>
      <c r="F26" s="1">
        <f t="shared" si="25"/>
        <v>7.7189999999999994</v>
      </c>
      <c r="G26">
        <f t="shared" si="13"/>
        <v>4</v>
      </c>
      <c r="H26" s="6">
        <f t="shared" si="14"/>
        <v>2.8262206745402887</v>
      </c>
      <c r="I26">
        <f t="shared" si="15"/>
        <v>0.08</v>
      </c>
      <c r="J26" s="6">
        <f t="shared" si="16"/>
        <v>5.6524413490805774E-2</v>
      </c>
      <c r="K26">
        <f t="shared" si="17"/>
        <v>1</v>
      </c>
      <c r="L26" s="6">
        <f t="shared" si="18"/>
        <v>0.96571214375390435</v>
      </c>
      <c r="M26" s="5">
        <f t="shared" si="19"/>
        <v>3.4287856246095649E-2</v>
      </c>
      <c r="N26" s="20">
        <f t="shared" si="20"/>
        <v>3.4701070287724178E-2</v>
      </c>
      <c r="O26" s="14" t="s">
        <v>19</v>
      </c>
    </row>
    <row r="27" spans="2:15" x14ac:dyDescent="0.25">
      <c r="B27" s="1">
        <v>4.91</v>
      </c>
      <c r="C27" s="5">
        <f t="shared" si="0"/>
        <v>1.2950439999999674E-2</v>
      </c>
      <c r="N27" s="20">
        <f>1.36/SQRT($B$2)</f>
        <v>0.19233304448274094</v>
      </c>
      <c r="O27" s="14" t="s">
        <v>20</v>
      </c>
    </row>
    <row r="28" spans="2:15" x14ac:dyDescent="0.25">
      <c r="B28" s="1">
        <v>4.78</v>
      </c>
      <c r="C28" s="5">
        <f t="shared" si="0"/>
        <v>2.624400000000429E-4</v>
      </c>
    </row>
    <row r="29" spans="2:15" x14ac:dyDescent="0.25">
      <c r="B29" s="1">
        <v>2.46</v>
      </c>
      <c r="C29" s="5">
        <f t="shared" si="0"/>
        <v>5.4578304400000075</v>
      </c>
    </row>
    <row r="30" spans="2:15" x14ac:dyDescent="0.25">
      <c r="B30" s="1">
        <v>3.97</v>
      </c>
      <c r="C30" s="5">
        <f t="shared" si="0"/>
        <v>0.68260644000000226</v>
      </c>
    </row>
    <row r="31" spans="2:15" x14ac:dyDescent="0.25">
      <c r="B31" s="1">
        <v>6.09</v>
      </c>
      <c r="C31" s="5">
        <f t="shared" si="0"/>
        <v>1.6739184399999956</v>
      </c>
    </row>
    <row r="32" spans="2:15" x14ac:dyDescent="0.25">
      <c r="B32" s="1">
        <v>6.19</v>
      </c>
      <c r="C32" s="5">
        <f t="shared" si="0"/>
        <v>1.9426784399999968</v>
      </c>
    </row>
    <row r="33" spans="2:3" x14ac:dyDescent="0.25">
      <c r="B33" s="1">
        <v>4.2</v>
      </c>
      <c r="C33" s="5">
        <f t="shared" si="0"/>
        <v>0.35545444000000165</v>
      </c>
    </row>
    <row r="34" spans="2:3" x14ac:dyDescent="0.25">
      <c r="B34" s="1">
        <v>3.48</v>
      </c>
      <c r="C34" s="5">
        <f t="shared" si="0"/>
        <v>1.7323824400000043</v>
      </c>
    </row>
    <row r="35" spans="2:3" x14ac:dyDescent="0.25">
      <c r="B35" s="1">
        <v>5.83</v>
      </c>
      <c r="C35" s="5">
        <f t="shared" si="0"/>
        <v>1.068742439999997</v>
      </c>
    </row>
    <row r="36" spans="2:3" x14ac:dyDescent="0.25">
      <c r="B36" s="1">
        <v>6.36</v>
      </c>
      <c r="C36" s="5">
        <f t="shared" si="0"/>
        <v>2.4454704399999962</v>
      </c>
    </row>
    <row r="37" spans="2:3" x14ac:dyDescent="0.25">
      <c r="B37" s="1">
        <v>5.9</v>
      </c>
      <c r="C37" s="5">
        <f t="shared" si="0"/>
        <v>1.2183744399999974</v>
      </c>
    </row>
    <row r="38" spans="2:3" x14ac:dyDescent="0.25">
      <c r="B38" s="1">
        <v>5.43</v>
      </c>
      <c r="C38" s="5">
        <f t="shared" si="0"/>
        <v>0.40170243999999766</v>
      </c>
    </row>
    <row r="39" spans="2:3" x14ac:dyDescent="0.25">
      <c r="B39" s="1">
        <v>3.87</v>
      </c>
      <c r="C39" s="5">
        <f t="shared" si="0"/>
        <v>0.85784644000000276</v>
      </c>
    </row>
    <row r="40" spans="2:3" x14ac:dyDescent="0.25">
      <c r="B40" s="1">
        <v>2.21</v>
      </c>
      <c r="C40" s="5">
        <f t="shared" si="0"/>
        <v>6.6884304400000083</v>
      </c>
    </row>
    <row r="41" spans="2:3" x14ac:dyDescent="0.25">
      <c r="B41" s="1">
        <v>3.74</v>
      </c>
      <c r="C41" s="5">
        <f t="shared" ref="C41:C58" si="26">(B41-Media)^2</f>
        <v>1.1155584400000029</v>
      </c>
    </row>
    <row r="42" spans="2:3" x14ac:dyDescent="0.25">
      <c r="B42" s="1">
        <v>4.6100000000000003</v>
      </c>
      <c r="C42" s="5">
        <f t="shared" si="26"/>
        <v>3.4670440000000469E-2</v>
      </c>
    </row>
    <row r="43" spans="2:3" x14ac:dyDescent="0.25">
      <c r="B43" s="1">
        <v>4.18</v>
      </c>
      <c r="C43" s="5">
        <f t="shared" si="26"/>
        <v>0.37970244000000231</v>
      </c>
    </row>
    <row r="44" spans="2:3" x14ac:dyDescent="0.25">
      <c r="B44" s="1">
        <v>5.2</v>
      </c>
      <c r="C44" s="5">
        <f t="shared" si="26"/>
        <v>0.16305443999999888</v>
      </c>
    </row>
    <row r="45" spans="2:3" x14ac:dyDescent="0.25">
      <c r="B45" s="1">
        <v>4.28</v>
      </c>
      <c r="C45" s="5">
        <f t="shared" si="26"/>
        <v>0.26646244000000135</v>
      </c>
    </row>
    <row r="46" spans="2:3" x14ac:dyDescent="0.25">
      <c r="B46" s="1">
        <v>7.71</v>
      </c>
      <c r="C46" s="5">
        <f t="shared" si="26"/>
        <v>8.4902304399999906</v>
      </c>
    </row>
    <row r="47" spans="2:3" x14ac:dyDescent="0.25">
      <c r="B47" s="1">
        <v>5.15</v>
      </c>
      <c r="C47" s="5">
        <f t="shared" si="26"/>
        <v>0.12517443999999914</v>
      </c>
    </row>
    <row r="48" spans="2:3" x14ac:dyDescent="0.25">
      <c r="B48" s="1">
        <v>6.76</v>
      </c>
      <c r="C48" s="5">
        <f t="shared" si="26"/>
        <v>3.856510439999993</v>
      </c>
    </row>
    <row r="49" spans="2:3" x14ac:dyDescent="0.25">
      <c r="B49" s="1">
        <v>7.28</v>
      </c>
      <c r="C49" s="5">
        <f t="shared" si="26"/>
        <v>6.1692624399999936</v>
      </c>
    </row>
    <row r="50" spans="2:3" x14ac:dyDescent="0.25">
      <c r="B50" s="1">
        <v>4.2300000000000004</v>
      </c>
      <c r="C50" s="5">
        <f t="shared" si="26"/>
        <v>0.3205824400000013</v>
      </c>
    </row>
    <row r="51" spans="2:3" x14ac:dyDescent="0.25">
      <c r="B51" s="1">
        <v>3.21</v>
      </c>
      <c r="C51" s="5">
        <f t="shared" si="26"/>
        <v>2.5160304400000051</v>
      </c>
    </row>
    <row r="52" spans="2:3" x14ac:dyDescent="0.25">
      <c r="B52" s="1">
        <v>2.75</v>
      </c>
      <c r="C52" s="5">
        <f t="shared" si="26"/>
        <v>4.1869344400000061</v>
      </c>
    </row>
    <row r="53" spans="2:3" x14ac:dyDescent="0.25">
      <c r="B53" s="1">
        <v>4.6900000000000004</v>
      </c>
      <c r="C53" s="5">
        <f t="shared" si="26"/>
        <v>1.127844000000025E-2</v>
      </c>
    </row>
    <row r="54" spans="2:3" x14ac:dyDescent="0.25">
      <c r="B54" s="1">
        <v>5.86</v>
      </c>
      <c r="C54" s="5">
        <f t="shared" si="26"/>
        <v>1.1316704399999973</v>
      </c>
    </row>
    <row r="55" spans="2:3" x14ac:dyDescent="0.25">
      <c r="B55" s="1">
        <v>6.25</v>
      </c>
      <c r="C55" s="5">
        <f t="shared" si="26"/>
        <v>2.1135344399999956</v>
      </c>
    </row>
    <row r="56" spans="2:3" x14ac:dyDescent="0.25">
      <c r="B56" s="1">
        <v>4.2699999999999996</v>
      </c>
      <c r="C56" s="5">
        <f t="shared" si="26"/>
        <v>0.27688644000000212</v>
      </c>
    </row>
    <row r="57" spans="2:3" x14ac:dyDescent="0.25">
      <c r="B57" s="1">
        <v>4.91</v>
      </c>
      <c r="C57" s="5">
        <f t="shared" si="26"/>
        <v>1.2950439999999674E-2</v>
      </c>
    </row>
    <row r="58" spans="2:3" x14ac:dyDescent="0.25">
      <c r="B58" s="1">
        <v>4.78</v>
      </c>
      <c r="C58" s="5">
        <f t="shared" si="26"/>
        <v>2.624400000000429E-4</v>
      </c>
    </row>
    <row r="59" spans="2:3" x14ac:dyDescent="0.25">
      <c r="C59" s="5">
        <f>SUM(C9:C58)/($B$2-1)</f>
        <v>2.1310975102040808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11</vt:i4>
      </vt:variant>
    </vt:vector>
  </HeadingPairs>
  <TitlesOfParts>
    <vt:vector size="17" baseType="lpstr">
      <vt:lpstr>Muestra 1</vt:lpstr>
      <vt:lpstr>Muestra 2</vt:lpstr>
      <vt:lpstr>Muestra 3</vt:lpstr>
      <vt:lpstr>Muestra 4</vt:lpstr>
      <vt:lpstr>Muestra 5</vt:lpstr>
      <vt:lpstr>Muestra 6</vt:lpstr>
      <vt:lpstr>'Muestra 3'!DesvStd</vt:lpstr>
      <vt:lpstr>'Muestra 6'!DesvStd</vt:lpstr>
      <vt:lpstr>'Muestra 2'!Lambda</vt:lpstr>
      <vt:lpstr>'Muestra 4'!Lambda</vt:lpstr>
      <vt:lpstr>'Muestra 5'!Lambda</vt:lpstr>
      <vt:lpstr>'Muestra 3'!Media</vt:lpstr>
      <vt:lpstr>'Muestra 6'!Media</vt:lpstr>
      <vt:lpstr>'Muestra 2'!N</vt:lpstr>
      <vt:lpstr>'Muestra 3'!N</vt:lpstr>
      <vt:lpstr>'Muestra 4'!N</vt:lpstr>
      <vt:lpstr>'Muestra 5'!N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Carena</dc:creator>
  <cp:lastModifiedBy>Gonzalo Carena</cp:lastModifiedBy>
  <dcterms:created xsi:type="dcterms:W3CDTF">2023-03-30T23:25:21Z</dcterms:created>
  <dcterms:modified xsi:type="dcterms:W3CDTF">2023-04-06T01:43:21Z</dcterms:modified>
</cp:coreProperties>
</file>