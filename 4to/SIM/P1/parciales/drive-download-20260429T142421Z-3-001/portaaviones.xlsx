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asmalamud/Documents/tomi/UTN/SIM/ejercicios/parcial 1/"/>
    </mc:Choice>
  </mc:AlternateContent>
  <xr:revisionPtr revIDLastSave="0" documentId="13_ncr:1_{CF6F9B9D-D3BC-D342-A1D1-0B2521D7F366}" xr6:coauthVersionLast="47" xr6:coauthVersionMax="47" xr10:uidLastSave="{00000000-0000-0000-0000-000000000000}"/>
  <bookViews>
    <workbookView xWindow="0" yWindow="500" windowWidth="25600" windowHeight="14120" xr2:uid="{DAA9A6C9-1186-F74E-AA6D-FD6615C6CE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1" l="1"/>
  <c r="I18" i="1"/>
  <c r="T17" i="1"/>
  <c r="X17" i="1" s="1"/>
  <c r="I17" i="1"/>
  <c r="I16" i="1"/>
  <c r="I15" i="1"/>
  <c r="I14" i="1"/>
  <c r="V17" i="1" l="1"/>
  <c r="Y17" i="1" s="1"/>
  <c r="Z17" i="1" s="1"/>
  <c r="N8" i="1"/>
  <c r="M9" i="1" s="1"/>
  <c r="N9" i="1" s="1"/>
  <c r="I8" i="1"/>
  <c r="H9" i="1" s="1"/>
  <c r="I9" i="1" s="1"/>
  <c r="D2" i="1"/>
  <c r="C3" i="1" s="1"/>
  <c r="N2" i="1"/>
  <c r="M3" i="1" s="1"/>
  <c r="I2" i="1"/>
  <c r="H3" i="1" s="1"/>
  <c r="L18" i="1" l="1"/>
  <c r="D19" i="1"/>
  <c r="L14" i="1"/>
  <c r="L17" i="1"/>
  <c r="L16" i="1"/>
  <c r="L15" i="1"/>
  <c r="L13" i="1"/>
  <c r="D14" i="1"/>
  <c r="D3" i="1"/>
  <c r="D13" i="1"/>
  <c r="H13" i="1" s="1"/>
  <c r="D15" i="1"/>
  <c r="D16" i="1"/>
  <c r="D17" i="1"/>
  <c r="D18" i="1"/>
  <c r="N3" i="1"/>
  <c r="I3" i="1"/>
  <c r="H4" i="1" s="1"/>
  <c r="I4" i="1" s="1"/>
  <c r="P13" i="1" l="1"/>
  <c r="F18" i="1"/>
  <c r="H18" i="1"/>
  <c r="J18" i="1" s="1"/>
  <c r="P16" i="1"/>
  <c r="R16" i="1" s="1"/>
  <c r="N16" i="1"/>
  <c r="Q16" i="1" s="1"/>
  <c r="F19" i="1"/>
  <c r="H19" i="1"/>
  <c r="J19" i="1" s="1"/>
  <c r="P15" i="1"/>
  <c r="R15" i="1" s="1"/>
  <c r="N15" i="1"/>
  <c r="Q15" i="1" s="1"/>
  <c r="P17" i="1"/>
  <c r="R17" i="1" s="1"/>
  <c r="N17" i="1"/>
  <c r="Q17" i="1" s="1"/>
  <c r="P18" i="1"/>
  <c r="R18" i="1" s="1"/>
  <c r="N18" i="1"/>
  <c r="Q18" i="1" s="1"/>
  <c r="H17" i="1"/>
  <c r="J17" i="1" s="1"/>
  <c r="F17" i="1"/>
  <c r="H16" i="1"/>
  <c r="J16" i="1" s="1"/>
  <c r="F16" i="1"/>
  <c r="F15" i="1"/>
  <c r="H15" i="1"/>
  <c r="J15" i="1" s="1"/>
  <c r="P14" i="1"/>
  <c r="R14" i="1" s="1"/>
  <c r="N14" i="1"/>
  <c r="F13" i="1"/>
  <c r="I13" i="1" s="1"/>
  <c r="H14" i="1"/>
  <c r="F14" i="1"/>
  <c r="R13" i="1"/>
  <c r="M4" i="1"/>
  <c r="N4" i="1" s="1"/>
  <c r="M5" i="1" s="1"/>
  <c r="N5" i="1" s="1"/>
  <c r="J14" i="1" l="1"/>
  <c r="J13" i="1"/>
  <c r="N13" i="1"/>
  <c r="Q13" i="1" s="1"/>
  <c r="Q14" i="1"/>
</calcChain>
</file>

<file path=xl/sharedStrings.xml><?xml version="1.0" encoding="utf-8"?>
<sst xmlns="http://schemas.openxmlformats.org/spreadsheetml/2006/main" count="61" uniqueCount="29">
  <si>
    <t>Encuentro</t>
  </si>
  <si>
    <t>P</t>
  </si>
  <si>
    <t>Desde</t>
  </si>
  <si>
    <t>Hasta</t>
  </si>
  <si>
    <t>A1</t>
  </si>
  <si>
    <t>A2</t>
  </si>
  <si>
    <t>Combustible</t>
  </si>
  <si>
    <t>Combustible (A1)</t>
  </si>
  <si>
    <t>Combustible (A2)</t>
  </si>
  <si>
    <t>Derribo (A1)</t>
  </si>
  <si>
    <t>R</t>
  </si>
  <si>
    <t>Derribo (A2)</t>
  </si>
  <si>
    <t>Combate</t>
  </si>
  <si>
    <t>RND_enc</t>
  </si>
  <si>
    <t>enc</t>
  </si>
  <si>
    <t>rnd_comb</t>
  </si>
  <si>
    <t>Combustible consumido</t>
  </si>
  <si>
    <t>rnd_derribo</t>
  </si>
  <si>
    <t>derribo</t>
  </si>
  <si>
    <t>combustible restante</t>
  </si>
  <si>
    <t>combate nuevamente</t>
  </si>
  <si>
    <t>destruidos_R</t>
  </si>
  <si>
    <t>destruidos_A1</t>
  </si>
  <si>
    <t>destruidos_A2</t>
  </si>
  <si>
    <t>combate 1</t>
  </si>
  <si>
    <t>combate 2</t>
  </si>
  <si>
    <t>combate 3</t>
  </si>
  <si>
    <t>com</t>
  </si>
  <si>
    <t>derr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</si>
</sst>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Aptos Narrow"/>
      <family val="2"/>
      <scheme val="minor"/>
    </font>
    <font>
      <b/>
      <sz val="14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0" fontId="0" fillId="4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8A36E-ABC9-7B42-8358-59E9D89C4185}">
  <dimension ref="A1:AK19"/>
  <sheetViews>
    <sheetView tabSelected="1" topLeftCell="N1" zoomScale="87" workbookViewId="0">
      <selection activeCell="AA20" sqref="AA20"/>
    </sheetView>
  </sheetViews>
  <sheetFormatPr baseColWidth="10" defaultRowHeight="19" x14ac:dyDescent="0.25"/>
  <cols>
    <col min="1" max="1" width="9.140625" bestFit="1" customWidth="1"/>
    <col min="2" max="2" width="11.140625" bestFit="1" customWidth="1"/>
    <col min="3" max="3" width="8.5703125" bestFit="1" customWidth="1"/>
    <col min="4" max="4" width="5.7109375" bestFit="1" customWidth="1"/>
    <col min="5" max="5" width="9" bestFit="1" customWidth="1"/>
    <col min="6" max="6" width="20.5703125" bestFit="1" customWidth="1"/>
    <col min="7" max="7" width="10" bestFit="1" customWidth="1"/>
    <col min="8" max="8" width="6.5703125" bestFit="1" customWidth="1"/>
    <col min="9" max="9" width="18" bestFit="1" customWidth="1"/>
    <col min="10" max="10" width="18.7109375" bestFit="1" customWidth="1"/>
    <col min="11" max="11" width="14.7109375" bestFit="1" customWidth="1"/>
    <col min="12" max="12" width="5" bestFit="1" customWidth="1"/>
    <col min="13" max="13" width="9" bestFit="1" customWidth="1"/>
    <col min="14" max="14" width="20.5703125" bestFit="1" customWidth="1"/>
    <col min="15" max="15" width="10" bestFit="1" customWidth="1"/>
    <col min="16" max="16" width="6.5703125" bestFit="1" customWidth="1"/>
    <col min="17" max="17" width="18" bestFit="1" customWidth="1"/>
    <col min="18" max="18" width="18.7109375" bestFit="1" customWidth="1"/>
    <col min="19" max="19" width="8.5703125" bestFit="1" customWidth="1"/>
    <col min="20" max="20" width="4" bestFit="1" customWidth="1"/>
    <col min="21" max="21" width="9" bestFit="1" customWidth="1"/>
    <col min="22" max="22" width="20.5703125" bestFit="1" customWidth="1"/>
    <col min="23" max="23" width="10" bestFit="1" customWidth="1"/>
    <col min="24" max="24" width="6.5703125" bestFit="1" customWidth="1"/>
    <col min="25" max="25" width="18" bestFit="1" customWidth="1"/>
    <col min="26" max="26" width="18.7109375" bestFit="1" customWidth="1"/>
    <col min="27" max="27" width="11.28515625" bestFit="1" customWidth="1"/>
    <col min="28" max="29" width="12.140625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F1" t="s">
        <v>7</v>
      </c>
      <c r="G1" t="s">
        <v>1</v>
      </c>
      <c r="H1" t="s">
        <v>2</v>
      </c>
      <c r="I1" t="s">
        <v>3</v>
      </c>
      <c r="K1" t="s">
        <v>8</v>
      </c>
      <c r="L1" t="s">
        <v>1</v>
      </c>
      <c r="M1" t="s">
        <v>2</v>
      </c>
      <c r="N1" t="s">
        <v>3</v>
      </c>
    </row>
    <row r="2" spans="1:37" x14ac:dyDescent="0.25">
      <c r="A2" t="s">
        <v>4</v>
      </c>
      <c r="B2">
        <v>0.4</v>
      </c>
      <c r="C2">
        <v>0</v>
      </c>
      <c r="D2">
        <f>+B2+C2-0.01</f>
        <v>0.39</v>
      </c>
      <c r="F2">
        <v>35</v>
      </c>
      <c r="G2">
        <v>0.38</v>
      </c>
      <c r="H2">
        <v>0</v>
      </c>
      <c r="I2">
        <f>+H2+G2-0.01</f>
        <v>0.37</v>
      </c>
      <c r="K2">
        <v>35</v>
      </c>
      <c r="L2">
        <v>0.22</v>
      </c>
      <c r="M2">
        <v>0</v>
      </c>
      <c r="N2">
        <f>+M2+L2-0.01</f>
        <v>0.21</v>
      </c>
      <c r="P2" t="s">
        <v>14</v>
      </c>
      <c r="Q2" s="5">
        <v>22</v>
      </c>
      <c r="R2" s="5">
        <v>45</v>
      </c>
      <c r="S2" s="5">
        <v>67</v>
      </c>
      <c r="T2" s="5">
        <v>78</v>
      </c>
      <c r="U2" s="5">
        <v>1</v>
      </c>
      <c r="V2" s="5">
        <v>27</v>
      </c>
      <c r="W2" s="5">
        <v>41</v>
      </c>
      <c r="X2" s="5">
        <v>56</v>
      </c>
      <c r="Y2" s="5">
        <v>90</v>
      </c>
      <c r="Z2" s="5">
        <v>22</v>
      </c>
      <c r="AA2" s="5">
        <v>34</v>
      </c>
      <c r="AB2" s="5">
        <v>53</v>
      </c>
      <c r="AC2" s="5">
        <v>60</v>
      </c>
      <c r="AD2" s="5">
        <v>90</v>
      </c>
      <c r="AE2">
        <v>34</v>
      </c>
      <c r="AF2">
        <v>51</v>
      </c>
      <c r="AG2">
        <v>9</v>
      </c>
    </row>
    <row r="3" spans="1:37" x14ac:dyDescent="0.25">
      <c r="A3" t="s">
        <v>5</v>
      </c>
      <c r="B3">
        <v>0.6</v>
      </c>
      <c r="C3">
        <f>+D2+0.01</f>
        <v>0.4</v>
      </c>
      <c r="D3">
        <f>+B3+C3-0.01</f>
        <v>0.99</v>
      </c>
      <c r="F3">
        <v>30</v>
      </c>
      <c r="G3">
        <v>0.39</v>
      </c>
      <c r="H3">
        <f>+I2+0.01</f>
        <v>0.38</v>
      </c>
      <c r="I3">
        <f t="shared" ref="I3:I4" si="0">+H3+G3-0.01</f>
        <v>0.76</v>
      </c>
      <c r="K3">
        <v>30</v>
      </c>
      <c r="L3">
        <v>0.28000000000000003</v>
      </c>
      <c r="M3">
        <f>+N2+0.01</f>
        <v>0.22</v>
      </c>
      <c r="N3">
        <f t="shared" ref="N3:N4" si="1">+M3+L3-0.01</f>
        <v>0.49</v>
      </c>
      <c r="P3" t="s">
        <v>27</v>
      </c>
      <c r="Q3" s="5">
        <v>4</v>
      </c>
      <c r="R3" s="5">
        <v>45</v>
      </c>
      <c r="S3" s="5">
        <v>16</v>
      </c>
      <c r="T3" s="5">
        <v>78</v>
      </c>
      <c r="U3" s="5">
        <v>90</v>
      </c>
      <c r="V3" s="5">
        <v>65</v>
      </c>
      <c r="W3" s="5">
        <v>43</v>
      </c>
      <c r="X3" s="5">
        <v>23</v>
      </c>
      <c r="Y3" s="5">
        <v>56</v>
      </c>
      <c r="Z3" s="5">
        <v>72</v>
      </c>
      <c r="AA3" s="5">
        <v>96</v>
      </c>
      <c r="AB3" s="5">
        <v>76</v>
      </c>
      <c r="AC3" s="5">
        <v>51</v>
      </c>
      <c r="AD3" s="5">
        <v>32</v>
      </c>
      <c r="AE3">
        <v>34</v>
      </c>
      <c r="AF3">
        <v>56</v>
      </c>
      <c r="AG3">
        <v>78</v>
      </c>
      <c r="AH3">
        <v>32</v>
      </c>
      <c r="AI3">
        <v>12</v>
      </c>
      <c r="AJ3">
        <v>43</v>
      </c>
    </row>
    <row r="4" spans="1:37" x14ac:dyDescent="0.25">
      <c r="F4">
        <v>20</v>
      </c>
      <c r="G4">
        <v>0.23</v>
      </c>
      <c r="H4">
        <f>+I3+0.01</f>
        <v>0.77</v>
      </c>
      <c r="I4">
        <f t="shared" si="0"/>
        <v>0.99</v>
      </c>
      <c r="K4">
        <v>25</v>
      </c>
      <c r="L4">
        <v>0.35</v>
      </c>
      <c r="M4">
        <f t="shared" ref="M4" si="2">+N3+0.01</f>
        <v>0.5</v>
      </c>
      <c r="N4">
        <f t="shared" si="1"/>
        <v>0.84</v>
      </c>
      <c r="P4" t="s">
        <v>28</v>
      </c>
      <c r="Q4" s="5">
        <v>60</v>
      </c>
      <c r="R4" s="5">
        <v>10</v>
      </c>
      <c r="S4" s="5">
        <v>89</v>
      </c>
      <c r="T4" s="5">
        <v>34</v>
      </c>
      <c r="U4" s="5">
        <v>52</v>
      </c>
      <c r="V4" s="5">
        <v>4</v>
      </c>
      <c r="W4" s="5">
        <v>80</v>
      </c>
      <c r="X4" s="5">
        <v>9</v>
      </c>
      <c r="Y4" s="5">
        <v>70</v>
      </c>
      <c r="Z4" s="5">
        <v>54</v>
      </c>
      <c r="AA4" s="5">
        <v>12</v>
      </c>
      <c r="AB4" s="5">
        <v>83</v>
      </c>
      <c r="AC4" s="5">
        <v>23</v>
      </c>
      <c r="AD4" s="5">
        <v>34</v>
      </c>
      <c r="AE4">
        <v>45</v>
      </c>
      <c r="AF4">
        <v>56</v>
      </c>
      <c r="AG4">
        <v>63</v>
      </c>
      <c r="AH4">
        <v>45</v>
      </c>
      <c r="AI4">
        <v>8</v>
      </c>
      <c r="AJ4">
        <v>9</v>
      </c>
      <c r="AK4">
        <v>45</v>
      </c>
    </row>
    <row r="5" spans="1:37" x14ac:dyDescent="0.25">
      <c r="K5">
        <v>15</v>
      </c>
      <c r="L5">
        <v>0.15</v>
      </c>
      <c r="M5">
        <f>+N4+0.01</f>
        <v>0.85</v>
      </c>
      <c r="N5" s="1">
        <f>+M5+L5-0.01</f>
        <v>0.99</v>
      </c>
    </row>
    <row r="7" spans="1:37" x14ac:dyDescent="0.25">
      <c r="F7" t="s">
        <v>9</v>
      </c>
      <c r="G7" t="s">
        <v>1</v>
      </c>
      <c r="H7" t="s">
        <v>2</v>
      </c>
      <c r="I7" t="s">
        <v>3</v>
      </c>
      <c r="K7" t="s">
        <v>11</v>
      </c>
      <c r="L7" t="s">
        <v>1</v>
      </c>
      <c r="M7" t="s">
        <v>2</v>
      </c>
      <c r="N7" t="s">
        <v>3</v>
      </c>
    </row>
    <row r="8" spans="1:37" x14ac:dyDescent="0.25">
      <c r="F8" t="s">
        <v>10</v>
      </c>
      <c r="G8">
        <v>0.5</v>
      </c>
      <c r="H8">
        <v>0</v>
      </c>
      <c r="I8">
        <f>+G8+H8-0.01</f>
        <v>0.49</v>
      </c>
      <c r="K8" t="s">
        <v>10</v>
      </c>
      <c r="L8">
        <v>0.4</v>
      </c>
      <c r="M8">
        <v>0</v>
      </c>
      <c r="N8">
        <f>+L8+M8-0.01</f>
        <v>0.39</v>
      </c>
    </row>
    <row r="9" spans="1:37" x14ac:dyDescent="0.25">
      <c r="F9" t="s">
        <v>4</v>
      </c>
      <c r="G9">
        <v>0.5</v>
      </c>
      <c r="H9">
        <f>+I8+0.01</f>
        <v>0.5</v>
      </c>
      <c r="I9">
        <f>+G9+H9-0.01</f>
        <v>0.99</v>
      </c>
      <c r="K9" t="s">
        <v>5</v>
      </c>
      <c r="L9">
        <v>0.6</v>
      </c>
      <c r="M9">
        <f>+N8+0.01</f>
        <v>0.4</v>
      </c>
      <c r="N9">
        <f>+L9+M9-0.01</f>
        <v>0.99</v>
      </c>
    </row>
    <row r="11" spans="1:37" x14ac:dyDescent="0.25">
      <c r="C11" s="2" t="s">
        <v>24</v>
      </c>
      <c r="D11" s="2"/>
      <c r="E11" s="2"/>
      <c r="F11" s="2"/>
      <c r="G11" s="2"/>
      <c r="H11" s="2"/>
      <c r="I11" s="2"/>
      <c r="J11" s="2"/>
      <c r="K11" s="3" t="s">
        <v>25</v>
      </c>
      <c r="L11" s="3"/>
      <c r="M11" s="3"/>
      <c r="N11" s="3"/>
      <c r="O11" s="3"/>
      <c r="P11" s="3"/>
      <c r="Q11" s="3"/>
      <c r="R11" s="3"/>
      <c r="S11" s="4" t="s">
        <v>26</v>
      </c>
      <c r="T11" s="4"/>
      <c r="U11" s="4"/>
      <c r="V11" s="4"/>
      <c r="W11" s="4"/>
      <c r="X11" s="4"/>
      <c r="Y11" s="4"/>
      <c r="Z11" s="4"/>
    </row>
    <row r="12" spans="1:37" x14ac:dyDescent="0.25">
      <c r="A12" t="s">
        <v>12</v>
      </c>
      <c r="B12" t="s">
        <v>6</v>
      </c>
      <c r="C12" t="s">
        <v>13</v>
      </c>
      <c r="D12" t="s">
        <v>14</v>
      </c>
      <c r="E12" t="s">
        <v>15</v>
      </c>
      <c r="F12" t="s">
        <v>16</v>
      </c>
      <c r="G12" t="s">
        <v>17</v>
      </c>
      <c r="H12" t="s">
        <v>18</v>
      </c>
      <c r="I12" t="s">
        <v>19</v>
      </c>
      <c r="J12" t="s">
        <v>20</v>
      </c>
      <c r="K12" t="s">
        <v>13</v>
      </c>
      <c r="L12" t="s">
        <v>14</v>
      </c>
      <c r="M12" t="s">
        <v>15</v>
      </c>
      <c r="N12" t="s">
        <v>16</v>
      </c>
      <c r="O12" t="s">
        <v>17</v>
      </c>
      <c r="P12" t="s">
        <v>18</v>
      </c>
      <c r="Q12" t="s">
        <v>19</v>
      </c>
      <c r="R12" t="s">
        <v>20</v>
      </c>
      <c r="S12" t="s">
        <v>13</v>
      </c>
      <c r="T12" t="s">
        <v>14</v>
      </c>
      <c r="U12" t="s">
        <v>15</v>
      </c>
      <c r="V12" t="s">
        <v>16</v>
      </c>
      <c r="W12" t="s">
        <v>17</v>
      </c>
      <c r="X12" t="s">
        <v>18</v>
      </c>
      <c r="Y12" t="s">
        <v>19</v>
      </c>
      <c r="Z12" t="s">
        <v>20</v>
      </c>
      <c r="AA12" t="s">
        <v>21</v>
      </c>
      <c r="AB12" t="s">
        <v>22</v>
      </c>
      <c r="AC12" t="s">
        <v>23</v>
      </c>
    </row>
    <row r="13" spans="1:37" x14ac:dyDescent="0.25">
      <c r="A13">
        <v>1</v>
      </c>
      <c r="B13">
        <v>85</v>
      </c>
      <c r="C13">
        <v>0.22</v>
      </c>
      <c r="D13" t="str">
        <f t="shared" ref="D13:D19" si="3">+LOOKUP(C13,$C$2:$C$3,$A$2:$A$3)</f>
        <v>A1</v>
      </c>
      <c r="E13">
        <v>0.04</v>
      </c>
      <c r="F13">
        <f>IF(D13="A1",LOOKUP(E13,$H$2:$H$4,$F$2:$F$4), LOOKUP(E13,$M$2:$M$5,$K$2:$K$5))</f>
        <v>35</v>
      </c>
      <c r="G13">
        <v>0.6</v>
      </c>
      <c r="H13" t="str">
        <f t="shared" ref="H13:H19" si="4">IF(D13="A1",LOOKUP(G13,$H$8:$H$9,$F$8:$F$9),LOOKUP(G13,$M$8:$M$9,$K$8:$K$9))</f>
        <v>A1</v>
      </c>
      <c r="I13">
        <f>+B13-F13</f>
        <v>50</v>
      </c>
      <c r="J13" t="str">
        <f t="shared" ref="J13:J19" si="5">IF(H13="R","RIP R",IF(I13&gt;=30,"SI","NO"))</f>
        <v>SI</v>
      </c>
      <c r="K13">
        <v>0.45</v>
      </c>
      <c r="L13" t="str">
        <f t="shared" ref="L13:L19" si="6">+LOOKUP(K13,$C$2:$C$3,$A$2:$A$3)</f>
        <v>A2</v>
      </c>
      <c r="M13">
        <v>0.45</v>
      </c>
      <c r="N13">
        <f>IF(L13="A1",LOOKUP(M13,$H$2:$H$4,$F$2:$F$4), LOOKUP(M13,$M$2:$M$5,$K$2:$K$5))</f>
        <v>30</v>
      </c>
      <c r="O13">
        <v>0.1</v>
      </c>
      <c r="P13" t="str">
        <f t="shared" ref="P13:P19" si="7">IF(L13="A1",LOOKUP(O13,$H$8:$H$9,$F$8:$F$9),LOOKUP(O13,$M$8:$M$9,$K$8:$K$9))</f>
        <v>R</v>
      </c>
      <c r="Q13">
        <f>+I13-N13</f>
        <v>20</v>
      </c>
      <c r="R13" t="str">
        <f t="shared" ref="R13:R19" si="8">IF(P13="R","RIP R",IF(Q13&gt;=30,"SI","NO"))</f>
        <v>RIP R</v>
      </c>
      <c r="AA13">
        <v>1</v>
      </c>
      <c r="AB13">
        <v>1</v>
      </c>
      <c r="AC13">
        <v>0</v>
      </c>
    </row>
    <row r="14" spans="1:37" x14ac:dyDescent="0.25">
      <c r="A14">
        <v>2</v>
      </c>
      <c r="B14">
        <v>85</v>
      </c>
      <c r="C14">
        <v>0.67</v>
      </c>
      <c r="D14" t="str">
        <f t="shared" si="3"/>
        <v>A2</v>
      </c>
      <c r="E14">
        <v>0.16</v>
      </c>
      <c r="F14">
        <f t="shared" ref="F14" si="9">IF(D14="A1",LOOKUP(E14,$H$2:$H$4,$F$2:$F$4), LOOKUP(E14,$M$2:$M$5,$K$2:$K$5))</f>
        <v>35</v>
      </c>
      <c r="G14">
        <v>0.89</v>
      </c>
      <c r="H14" t="str">
        <f t="shared" si="4"/>
        <v>A2</v>
      </c>
      <c r="I14">
        <f>+B14-F14</f>
        <v>50</v>
      </c>
      <c r="J14" t="str">
        <f t="shared" si="5"/>
        <v>SI</v>
      </c>
      <c r="K14">
        <v>0.78</v>
      </c>
      <c r="L14" t="str">
        <f t="shared" si="6"/>
        <v>A2</v>
      </c>
      <c r="M14">
        <v>0.78</v>
      </c>
      <c r="N14">
        <f t="shared" ref="N14" si="10">IF(L14="A1",LOOKUP(M14,$H$2:$H$4,$F$2:$F$4), LOOKUP(M14,$M$2:$M$5,$K$2:$K$5))</f>
        <v>25</v>
      </c>
      <c r="O14">
        <v>0.34</v>
      </c>
      <c r="P14" t="str">
        <f t="shared" si="7"/>
        <v>R</v>
      </c>
      <c r="Q14">
        <f t="shared" ref="Q14:Q19" si="11">+I14-N14</f>
        <v>25</v>
      </c>
      <c r="R14" t="str">
        <f t="shared" si="8"/>
        <v>RIP R</v>
      </c>
      <c r="AA14">
        <v>2</v>
      </c>
      <c r="AB14">
        <v>1</v>
      </c>
      <c r="AC14">
        <v>1</v>
      </c>
    </row>
    <row r="15" spans="1:37" x14ac:dyDescent="0.25">
      <c r="A15">
        <v>3</v>
      </c>
      <c r="B15">
        <v>85</v>
      </c>
      <c r="C15">
        <v>0.01</v>
      </c>
      <c r="D15" t="str">
        <f t="shared" si="3"/>
        <v>A1</v>
      </c>
      <c r="E15">
        <v>0.9</v>
      </c>
      <c r="F15">
        <f>IF(D15="A1",LOOKUP(E15,$H$2:$H$4,$F$2:$F$4), LOOKUP(E15,$M$2:$M$5,$K$2:$K$5))</f>
        <v>20</v>
      </c>
      <c r="G15">
        <v>0.52</v>
      </c>
      <c r="H15" t="str">
        <f t="shared" si="4"/>
        <v>A1</v>
      </c>
      <c r="I15">
        <f>+B15-F15</f>
        <v>65</v>
      </c>
      <c r="J15" t="str">
        <f t="shared" si="5"/>
        <v>SI</v>
      </c>
      <c r="K15">
        <v>0.27</v>
      </c>
      <c r="L15" t="str">
        <f t="shared" si="6"/>
        <v>A1</v>
      </c>
      <c r="M15">
        <v>0.65</v>
      </c>
      <c r="N15">
        <f>IF(L15="A1",LOOKUP(M15,$H$2:$H$4,$F$2:$F$4), LOOKUP(M15,$M$2:$M$5,$K$2:$K$5))</f>
        <v>30</v>
      </c>
      <c r="O15">
        <v>0.4</v>
      </c>
      <c r="P15" t="str">
        <f t="shared" si="7"/>
        <v>R</v>
      </c>
      <c r="Q15">
        <f t="shared" si="11"/>
        <v>35</v>
      </c>
      <c r="R15" t="str">
        <f t="shared" si="8"/>
        <v>RIP R</v>
      </c>
      <c r="AA15">
        <v>3</v>
      </c>
      <c r="AB15">
        <v>2</v>
      </c>
      <c r="AC15">
        <v>1</v>
      </c>
    </row>
    <row r="16" spans="1:37" x14ac:dyDescent="0.25">
      <c r="A16">
        <v>4</v>
      </c>
      <c r="B16">
        <v>85</v>
      </c>
      <c r="C16">
        <v>0.41</v>
      </c>
      <c r="D16" t="str">
        <f t="shared" si="3"/>
        <v>A2</v>
      </c>
      <c r="E16">
        <v>0.43</v>
      </c>
      <c r="F16">
        <f>IF(D16="A1",LOOKUP(E16,$H$2:$H$4,$F$2:$F$4), LOOKUP(E16,$M$2:$M$5,$K$2:$K$5))</f>
        <v>30</v>
      </c>
      <c r="G16">
        <v>0.8</v>
      </c>
      <c r="H16" t="str">
        <f t="shared" si="4"/>
        <v>A2</v>
      </c>
      <c r="I16">
        <f>+B16-F16</f>
        <v>55</v>
      </c>
      <c r="J16" t="str">
        <f t="shared" si="5"/>
        <v>SI</v>
      </c>
      <c r="K16">
        <v>0.56000000000000005</v>
      </c>
      <c r="L16" t="str">
        <f t="shared" si="6"/>
        <v>A2</v>
      </c>
      <c r="M16">
        <v>0.23</v>
      </c>
      <c r="N16">
        <f>IF(L16="A1",LOOKUP(M16,$H$2:$H$4,$F$2:$F$4), LOOKUP(M16,$M$2:$M$5,$K$2:$K$5))</f>
        <v>30</v>
      </c>
      <c r="O16">
        <v>0.9</v>
      </c>
      <c r="P16" t="str">
        <f t="shared" si="7"/>
        <v>A2</v>
      </c>
      <c r="Q16">
        <f t="shared" si="11"/>
        <v>25</v>
      </c>
      <c r="R16" t="str">
        <f t="shared" si="8"/>
        <v>NO</v>
      </c>
      <c r="AA16">
        <v>3</v>
      </c>
      <c r="AB16">
        <v>2</v>
      </c>
      <c r="AC16">
        <v>3</v>
      </c>
    </row>
    <row r="17" spans="1:29" x14ac:dyDescent="0.25">
      <c r="A17">
        <v>5</v>
      </c>
      <c r="B17">
        <v>85</v>
      </c>
      <c r="C17">
        <v>0.9</v>
      </c>
      <c r="D17" t="str">
        <f t="shared" si="3"/>
        <v>A2</v>
      </c>
      <c r="E17">
        <v>0.56000000000000005</v>
      </c>
      <c r="F17">
        <f>IF(D17="A1",LOOKUP(E17,$H$2:$H$4,$F$2:$F$4), LOOKUP(E17,$M$2:$M$5,$K$2:$K$5))</f>
        <v>25</v>
      </c>
      <c r="G17">
        <v>0.7</v>
      </c>
      <c r="H17" t="str">
        <f t="shared" si="4"/>
        <v>A2</v>
      </c>
      <c r="I17">
        <f>+B17-F17</f>
        <v>60</v>
      </c>
      <c r="J17" t="str">
        <f t="shared" si="5"/>
        <v>SI</v>
      </c>
      <c r="K17">
        <v>0.22</v>
      </c>
      <c r="L17" t="str">
        <f t="shared" si="6"/>
        <v>A1</v>
      </c>
      <c r="M17">
        <v>0.72</v>
      </c>
      <c r="N17">
        <f>IF(L17="A1",LOOKUP(M17,$H$2:$H$4,$F$2:$F$4), LOOKUP(M17,$M$2:$M$5,$K$2:$K$5))</f>
        <v>30</v>
      </c>
      <c r="O17">
        <v>0.54</v>
      </c>
      <c r="P17" t="str">
        <f t="shared" si="7"/>
        <v>A1</v>
      </c>
      <c r="Q17">
        <f t="shared" si="11"/>
        <v>30</v>
      </c>
      <c r="R17" t="str">
        <f t="shared" si="8"/>
        <v>SI</v>
      </c>
      <c r="S17">
        <v>0.34</v>
      </c>
      <c r="T17" t="str">
        <f t="shared" ref="T17" si="12">+LOOKUP(S17,$C$2:$C$3,$A$2:$A$3)</f>
        <v>A1</v>
      </c>
      <c r="U17">
        <v>0.96</v>
      </c>
      <c r="V17">
        <f>IF(T17="A1",LOOKUP(U17,$H$2:$H$4,$F$2:$F$4), LOOKUP(U17,$M$2:$M$5,$K$2:$K$5))</f>
        <v>20</v>
      </c>
      <c r="W17">
        <v>0.12</v>
      </c>
      <c r="X17" t="str">
        <f t="shared" ref="X17" si="13">IF(T17="A1",LOOKUP(W17,$H$8:$H$9,$F$8:$F$9),LOOKUP(W17,$M$8:$M$9,$K$8:$K$9))</f>
        <v>R</v>
      </c>
      <c r="Y17">
        <f>+Q17-V17</f>
        <v>10</v>
      </c>
      <c r="Z17" t="str">
        <f t="shared" ref="Z17" si="14">IF(X17="R","RIP R",IF(Y17&gt;=30,"SI","NO"))</f>
        <v>RIP R</v>
      </c>
      <c r="AA17">
        <v>4</v>
      </c>
      <c r="AB17">
        <v>3</v>
      </c>
      <c r="AC17">
        <v>4</v>
      </c>
    </row>
    <row r="18" spans="1:29" x14ac:dyDescent="0.25">
      <c r="A18">
        <v>6</v>
      </c>
      <c r="B18">
        <v>85</v>
      </c>
      <c r="C18">
        <v>0.53</v>
      </c>
      <c r="D18" t="str">
        <f t="shared" si="3"/>
        <v>A2</v>
      </c>
      <c r="E18">
        <v>0.76</v>
      </c>
      <c r="F18">
        <f>IF(D18="A1",LOOKUP(E18,$H$2:$H$4,$F$2:$F$4), LOOKUP(E18,$M$2:$M$5,$K$2:$K$5))</f>
        <v>25</v>
      </c>
      <c r="G18">
        <v>0.83</v>
      </c>
      <c r="H18" t="str">
        <f t="shared" si="4"/>
        <v>A2</v>
      </c>
      <c r="I18">
        <f>+B18-F18</f>
        <v>60</v>
      </c>
      <c r="J18" t="str">
        <f t="shared" si="5"/>
        <v>SI</v>
      </c>
      <c r="K18">
        <v>0.6</v>
      </c>
      <c r="L18" t="str">
        <f t="shared" si="6"/>
        <v>A2</v>
      </c>
      <c r="M18">
        <v>0.51</v>
      </c>
      <c r="N18">
        <f>IF(L18="A1",LOOKUP(M18,$H$2:$H$4,$F$2:$F$4), LOOKUP(M18,$M$2:$M$5,$K$2:$K$5))</f>
        <v>25</v>
      </c>
      <c r="O18">
        <v>0.23</v>
      </c>
      <c r="P18" t="str">
        <f t="shared" si="7"/>
        <v>R</v>
      </c>
      <c r="Q18">
        <f t="shared" si="11"/>
        <v>35</v>
      </c>
      <c r="R18" t="str">
        <f t="shared" si="8"/>
        <v>RIP R</v>
      </c>
      <c r="AA18">
        <v>5</v>
      </c>
      <c r="AB18">
        <v>3</v>
      </c>
      <c r="AC18">
        <v>5</v>
      </c>
    </row>
    <row r="19" spans="1:29" x14ac:dyDescent="0.25">
      <c r="A19">
        <v>7</v>
      </c>
      <c r="B19">
        <v>85</v>
      </c>
      <c r="C19">
        <v>0.9</v>
      </c>
      <c r="D19" t="str">
        <f t="shared" si="3"/>
        <v>A2</v>
      </c>
      <c r="E19">
        <v>0.32</v>
      </c>
      <c r="F19">
        <f>IF(D19="A1",LOOKUP(E19,$H$2:$H$4,$F$2:$F$4), LOOKUP(E19,$M$2:$M$5,$K$2:$K$5))</f>
        <v>30</v>
      </c>
      <c r="G19">
        <v>0.34</v>
      </c>
      <c r="H19" t="str">
        <f t="shared" si="4"/>
        <v>R</v>
      </c>
      <c r="I19">
        <f>+B19-F19</f>
        <v>55</v>
      </c>
      <c r="J19" t="str">
        <f t="shared" si="5"/>
        <v>RIP R</v>
      </c>
      <c r="AA19">
        <v>6</v>
      </c>
      <c r="AB19">
        <v>3</v>
      </c>
      <c r="AC19">
        <v>5</v>
      </c>
    </row>
  </sheetData>
  <mergeCells count="3">
    <mergeCell ref="C11:J11"/>
    <mergeCell ref="K11:R11"/>
    <mergeCell ref="S11:Z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Tomás Andrés Malamud</dc:creator>
  <cp:lastModifiedBy>Tomás Andrés Malamud</cp:lastModifiedBy>
  <dcterms:created xsi:type="dcterms:W3CDTF">2024-07-22T19:30:21Z</dcterms:created>
  <dcterms:modified xsi:type="dcterms:W3CDTF">2024-07-22T21:52:53Z</dcterms:modified>
</cp:coreProperties>
</file>